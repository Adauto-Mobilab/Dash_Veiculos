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ml.chartshapes+xml"/>
  <Override PartName="/xl/charts/_rels/chart3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media/image1.wmf" ContentType="image/x-wmf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 GASOLINA" sheetId="1" state="visible" r:id="rId3"/>
    <sheet name="INVENTARIO ETANOL" sheetId="2" state="visible" r:id="rId4"/>
    <sheet name="ONIBUS-FROTA" sheetId="3" state="visible" r:id="rId5"/>
    <sheet name="FE" sheetId="4" state="visible" r:id="rId6"/>
    <sheet name="Venda de Combustíve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<sst xmlns="http://schemas.openxmlformats.org/spreadsheetml/2006/main" count="505" uniqueCount="61">
  <si>
    <t xml:space="preserve">Ano</t>
  </si>
  <si>
    <t xml:space="preserve">FROTA GASOLINA</t>
  </si>
  <si>
    <t xml:space="preserve">QTE DE VEÍCULOS POR ANO DE FABRICAÇÃO</t>
  </si>
  <si>
    <t xml:space="preserve">INTENSIDADE DE USO (KM/ANO)</t>
  </si>
  <si>
    <t xml:space="preserve">KM TOTAIS/ANO</t>
  </si>
  <si>
    <t xml:space="preserve">Litros/km</t>
  </si>
  <si>
    <t xml:space="preserve">CO2 (g/km)</t>
  </si>
  <si>
    <t xml:space="preserve">CO2 Fase de Uso (ton)</t>
  </si>
  <si>
    <t xml:space="preserve">SIMULAÇÃO litros totais</t>
  </si>
  <si>
    <t xml:space="preserve">Ciclo de vida Well-to-tank (Cleber Lorenzi, 2009) (Weiss, 2000)</t>
  </si>
  <si>
    <t xml:space="preserve">Percentual de Etanol na Gasolina</t>
  </si>
  <si>
    <t xml:space="preserve">Poder Calorífico da Gasolina (MJ/kg)</t>
  </si>
  <si>
    <t xml:space="preserve">Densidade da Gasolina (kg/l)</t>
  </si>
  <si>
    <t xml:space="preserve">Percentual de Venda de Etanol</t>
  </si>
  <si>
    <t xml:space="preserve">TOTAL</t>
  </si>
  <si>
    <t xml:space="preserve">FROTA OPERANTE</t>
  </si>
  <si>
    <t xml:space="preserve">SABADO</t>
  </si>
  <si>
    <t xml:space="preserve">DOMINGO</t>
  </si>
  <si>
    <t xml:space="preserve">LINHAS</t>
  </si>
  <si>
    <t xml:space="preserve">km médio por linha</t>
  </si>
  <si>
    <t xml:space="preserve">km médio mensal por ônibus</t>
  </si>
  <si>
    <t xml:space="preserve">km médio anual por ônibus</t>
  </si>
  <si>
    <t xml:space="preserve">km anual da frota</t>
  </si>
  <si>
    <t xml:space="preserve">Emissões de CO2 (ton)</t>
  </si>
  <si>
    <t xml:space="preserve">Consumo de Diesel (litros)</t>
  </si>
  <si>
    <t xml:space="preserve">ANO</t>
  </si>
  <si>
    <t xml:space="preserve">Fase Proconve</t>
  </si>
  <si>
    <t xml:space="preserve">P7</t>
  </si>
  <si>
    <t xml:space="preserve">P7/P8</t>
  </si>
  <si>
    <t xml:space="preserve">P8</t>
  </si>
  <si>
    <t xml:space="preserve">Categoria</t>
  </si>
  <si>
    <t xml:space="preserve">CO (g/kWh)</t>
  </si>
  <si>
    <t xml:space="preserve">HC (g/kWh)</t>
  </si>
  <si>
    <t xml:space="preserve">CH4 (g/kWh)</t>
  </si>
  <si>
    <t xml:space="preserve">NOx (g/kWh)</t>
  </si>
  <si>
    <t xml:space="preserve">MP (g/kWh)</t>
  </si>
  <si>
    <r>
      <rPr>
        <b val="true"/>
        <sz val="10"/>
        <color rgb="FFFFFFFF"/>
        <rFont val="Calibri"/>
        <family val="2"/>
        <charset val="1"/>
      </rPr>
      <t xml:space="preserve">CO</t>
    </r>
    <r>
      <rPr>
        <b val="true"/>
        <vertAlign val="subscript"/>
        <sz val="10"/>
        <color rgb="FFFFFFFF"/>
        <rFont val="Calibri"/>
        <family val="2"/>
        <charset val="1"/>
      </rPr>
      <t xml:space="preserve">2 </t>
    </r>
    <r>
      <rPr>
        <b val="true"/>
        <sz val="10"/>
        <color rgb="FFFFFFFF"/>
        <rFont val="Calibri"/>
        <family val="2"/>
        <charset val="1"/>
      </rPr>
      <t xml:space="preserve">(g/kWh)</t>
    </r>
  </si>
  <si>
    <r>
      <rPr>
        <b val="true"/>
        <sz val="10"/>
        <color rgb="FFFFFFFF"/>
        <rFont val="Calibri"/>
        <family val="2"/>
        <charset val="1"/>
      </rPr>
      <t xml:space="preserve">NH</t>
    </r>
    <r>
      <rPr>
        <b val="true"/>
        <vertAlign val="subscript"/>
        <sz val="10"/>
        <color rgb="FFFFFFFF"/>
        <rFont val="Calibri"/>
        <family val="2"/>
        <charset val="1"/>
      </rPr>
      <t xml:space="preserve">3 </t>
    </r>
    <r>
      <rPr>
        <b val="true"/>
        <sz val="10"/>
        <color rgb="FFFFFFFF"/>
        <rFont val="Calibri"/>
        <family val="2"/>
        <charset val="1"/>
      </rPr>
      <t xml:space="preserve">(ppm)</t>
    </r>
  </si>
  <si>
    <r>
      <rPr>
        <b val="true"/>
        <sz val="10"/>
        <color rgb="FFFFFFFF"/>
        <rFont val="Calibri"/>
        <family val="2"/>
        <charset val="1"/>
      </rPr>
      <t xml:space="preserve">Consumo</t>
    </r>
    <r>
      <rPr>
        <b val="true"/>
        <vertAlign val="superscript"/>
        <sz val="10"/>
        <color rgb="FFFFFFFF"/>
        <rFont val="Calibri"/>
        <family val="2"/>
        <charset val="1"/>
      </rPr>
      <t xml:space="preserve"> (1)</t>
    </r>
    <r>
      <rPr>
        <b val="true"/>
        <sz val="10"/>
        <color rgb="FFFFFFFF"/>
        <rFont val="Calibri"/>
        <family val="2"/>
        <charset val="1"/>
      </rPr>
      <t xml:space="preserve"> (gdiesel/kWh)</t>
    </r>
  </si>
  <si>
    <t xml:space="preserve">Autonomia</t>
  </si>
  <si>
    <t xml:space="preserve">Densidade</t>
  </si>
  <si>
    <t xml:space="preserve">(km/l)</t>
  </si>
  <si>
    <t xml:space="preserve">(gdiesel/l)</t>
  </si>
  <si>
    <t xml:space="preserve">Onibus</t>
  </si>
  <si>
    <t xml:space="preserve">Urbanos</t>
  </si>
  <si>
    <t xml:space="preserve">nd</t>
  </si>
  <si>
    <t xml:space="preserve">Gasolina C</t>
  </si>
  <si>
    <t xml:space="preserve">Etanol</t>
  </si>
  <si>
    <t xml:space="preserve">%</t>
  </si>
  <si>
    <t xml:space="preserve">NOV</t>
  </si>
  <si>
    <t xml:space="preserve">OUT</t>
  </si>
  <si>
    <t xml:space="preserve">SET</t>
  </si>
  <si>
    <t xml:space="preserve">JUL</t>
  </si>
  <si>
    <t xml:space="preserve">JUN</t>
  </si>
  <si>
    <t xml:space="preserve">MAI</t>
  </si>
  <si>
    <t xml:space="preserve">ABR</t>
  </si>
  <si>
    <t xml:space="preserve">MAR</t>
  </si>
  <si>
    <t xml:space="preserve">FEV</t>
  </si>
  <si>
    <t xml:space="preserve">JAN</t>
  </si>
  <si>
    <t xml:space="preserve">AGO</t>
  </si>
  <si>
    <t xml:space="preserve">DEZ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</si>
</sst>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??_-;_-@_-"/>
    <numFmt numFmtId="166" formatCode="0.00"/>
    <numFmt numFmtId="167" formatCode="0"/>
    <numFmt numFmtId="168" formatCode="0.0"/>
    <numFmt numFmtId="169" formatCode="0.00E+00"/>
    <numFmt numFmtId="170" formatCode="0.000"/>
    <numFmt numFmtId="171" formatCode="0%"/>
    <numFmt numFmtId="172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6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sz val="11"/>
      <color theme="1"/>
      <name val="Calibri"/>
      <family val="2"/>
    </font>
    <font>
      <b val="true"/>
      <sz val="10"/>
      <color rgb="FFFFFFFF"/>
      <name val="Calibri"/>
      <family val="2"/>
      <charset val="1"/>
    </font>
    <font>
      <b val="true"/>
      <vertAlign val="subscript"/>
      <sz val="10"/>
      <color rgb="FFFFFFFF"/>
      <name val="Calibri"/>
      <family val="2"/>
      <charset val="1"/>
    </font>
    <font>
      <b val="true"/>
      <vertAlign val="superscript"/>
      <sz val="10"/>
      <color rgb="FFFFFFFF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sz val="9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5"/>
        <bgColor rgb="FF0066CC"/>
      </patternFill>
    </fill>
    <fill>
      <patternFill patternType="solid">
        <fgColor theme="4" tint="0.7999"/>
        <bgColor rgb="FFD9D9D9"/>
      </patternFill>
    </fill>
    <fill>
      <patternFill patternType="solid">
        <fgColor theme="4" tint="0.5999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Vírgula 2" xfId="23"/>
    <cellStyle name="Vírgula 3" xfId="24"/>
    <cellStyle name="Vírgula 4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5B9BD5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3.xml.rels><?xml version="1.0" encoding="UTF-8"?>
<Relationships xmlns="http://schemas.openxmlformats.org/package/2006/relationships"><Relationship Id="rId1" Type="http://schemas.openxmlformats.org/officeDocument/2006/relationships/chartUserShapes" Target="../drawings/drawing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400" strike="noStrike" u="none">
                <a:solidFill>
                  <a:srgbClr val="595959"/>
                </a:solidFill>
                <a:uFillTx/>
                <a:latin typeface="Calibri"/>
              </a:rPr>
              <a:t>Fator de emissão de CO2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'INVENTARIO GASOLINA'!$B$2:$B$44</c:f>
              <c:strCache>
                <c:ptCount val="43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  <c:pt idx="37">
                  <c:v>2019</c:v>
                </c:pt>
                <c:pt idx="38">
                  <c:v>2020</c:v>
                </c:pt>
                <c:pt idx="39">
                  <c:v>2021</c:v>
                </c:pt>
                <c:pt idx="40">
                  <c:v>2022</c:v>
                </c:pt>
                <c:pt idx="41">
                  <c:v>2023</c:v>
                </c:pt>
                <c:pt idx="42">
                  <c:v>2024</c:v>
                </c:pt>
              </c:strCache>
            </c:strRef>
          </c:cat>
          <c:val>
            <c:numRef>
              <c:f>'INVENTARIO GASOLINA'!$H$2:$H$44</c:f>
              <c:numCache>
                <c:formatCode>0.0</c:formatCode>
                <c:ptCount val="43"/>
                <c:pt idx="0">
                  <c:v>196.66982836495</c:v>
                </c:pt>
                <c:pt idx="1">
                  <c:v>196.66982836495</c:v>
                </c:pt>
                <c:pt idx="2">
                  <c:v>196.66982836495</c:v>
                </c:pt>
                <c:pt idx="3">
                  <c:v>196.66982836495</c:v>
                </c:pt>
                <c:pt idx="4">
                  <c:v>196.66982836495</c:v>
                </c:pt>
                <c:pt idx="5">
                  <c:v>196.66982836495</c:v>
                </c:pt>
                <c:pt idx="6">
                  <c:v>196.66982836495</c:v>
                </c:pt>
                <c:pt idx="7">
                  <c:v>196.66982836495</c:v>
                </c:pt>
                <c:pt idx="8">
                  <c:v>184.857021996616</c:v>
                </c:pt>
                <c:pt idx="9">
                  <c:v>184.857021996616</c:v>
                </c:pt>
                <c:pt idx="10">
                  <c:v>198.195810564663</c:v>
                </c:pt>
                <c:pt idx="11">
                  <c:v>198.195810564663</c:v>
                </c:pt>
                <c:pt idx="12">
                  <c:v>215.768924302789</c:v>
                </c:pt>
                <c:pt idx="13">
                  <c:v>208.663461538462</c:v>
                </c:pt>
                <c:pt idx="14">
                  <c:v>197.175724637681</c:v>
                </c:pt>
                <c:pt idx="15">
                  <c:v>197.175724637681</c:v>
                </c:pt>
                <c:pt idx="16">
                  <c:v>184.857021996616</c:v>
                </c:pt>
                <c:pt idx="17">
                  <c:v>184.857021996616</c:v>
                </c:pt>
                <c:pt idx="18">
                  <c:v>183.830529857023</c:v>
                </c:pt>
                <c:pt idx="19">
                  <c:v>182.672096908939</c:v>
                </c:pt>
                <c:pt idx="20">
                  <c:v>199.573394495413</c:v>
                </c:pt>
                <c:pt idx="21">
                  <c:v>210.587378640777</c:v>
                </c:pt>
                <c:pt idx="22">
                  <c:v>201.324074074074</c:v>
                </c:pt>
                <c:pt idx="23">
                  <c:v>189.708695652174</c:v>
                </c:pt>
                <c:pt idx="24">
                  <c:v>186.645299145299</c:v>
                </c:pt>
                <c:pt idx="25">
                  <c:v>186.645299145299</c:v>
                </c:pt>
                <c:pt idx="26">
                  <c:v>191.280701754386</c:v>
                </c:pt>
                <c:pt idx="27">
                  <c:v>189.708695652174</c:v>
                </c:pt>
                <c:pt idx="28">
                  <c:v>178.052845528455</c:v>
                </c:pt>
                <c:pt idx="29">
                  <c:v>179.426229508197</c:v>
                </c:pt>
                <c:pt idx="30">
                  <c:v>180.822314049587</c:v>
                </c:pt>
                <c:pt idx="31">
                  <c:v>176.701612903226</c:v>
                </c:pt>
                <c:pt idx="32">
                  <c:v>172.775590551181</c:v>
                </c:pt>
                <c:pt idx="33">
                  <c:v>166.628787878788</c:v>
                </c:pt>
                <c:pt idx="34">
                  <c:v>159.840579710145</c:v>
                </c:pt>
                <c:pt idx="35">
                  <c:v>154.618881118881</c:v>
                </c:pt>
                <c:pt idx="36">
                  <c:v>155.633802816901</c:v>
                </c:pt>
                <c:pt idx="37">
                  <c:v>155.633802816901</c:v>
                </c:pt>
                <c:pt idx="38">
                  <c:v>154.358242476912</c:v>
                </c:pt>
                <c:pt idx="39">
                  <c:v>153.206400387269</c:v>
                </c:pt>
                <c:pt idx="40">
                  <c:v>152.389155418813</c:v>
                </c:pt>
                <c:pt idx="41">
                  <c:v>151.755250973531</c:v>
                </c:pt>
                <c:pt idx="42">
                  <c:v>151.237313329169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310007"/>
        <c:axId val="42620276"/>
      </c:lineChart>
      <c:catAx>
        <c:axId val="983100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Ano de fabricação</a:t>
                </a:r>
              </a:p>
            </c:rich>
          </c:tx>
          <c:layout>
            <c:manualLayout>
              <c:xMode val="edge"/>
              <c:yMode val="edge"/>
              <c:x val="0.45450802799506"/>
              <c:y val="0.90925188136343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2620276"/>
        <c:crosses val="autoZero"/>
        <c:auto val="1"/>
        <c:lblAlgn val="ctr"/>
        <c:lblOffset val="100"/>
        <c:noMultiLvlLbl val="0"/>
      </c:catAx>
      <c:valAx>
        <c:axId val="4262027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Fator de emissão (g/km)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83100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400" strike="noStrike" u="none">
                <a:solidFill>
                  <a:srgbClr val="595959"/>
                </a:solidFill>
                <a:uFillTx/>
                <a:latin typeface="Calibri"/>
              </a:rPr>
              <a:t>Consumo de combustível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"Gasolina"</c:f>
              <c:strCache>
                <c:ptCount val="1"/>
                <c:pt idx="0">
                  <c:v>Gasolina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'INVENTARIO GASOLINA'!$G$2:$G$44</c:f>
              <c:numCache>
                <c:formatCode>General</c:formatCode>
                <c:ptCount val="43"/>
                <c:pt idx="0">
                  <c:v>0.0903342366757001</c:v>
                </c:pt>
                <c:pt idx="1">
                  <c:v>0.0903342366757001</c:v>
                </c:pt>
                <c:pt idx="2">
                  <c:v>0.0903342366757001</c:v>
                </c:pt>
                <c:pt idx="3">
                  <c:v>0.0903342366757001</c:v>
                </c:pt>
                <c:pt idx="4">
                  <c:v>0.0903342366757001</c:v>
                </c:pt>
                <c:pt idx="5">
                  <c:v>0.0903342366757001</c:v>
                </c:pt>
                <c:pt idx="6">
                  <c:v>0.0903342366757001</c:v>
                </c:pt>
                <c:pt idx="7">
                  <c:v>0.0903342366757001</c:v>
                </c:pt>
                <c:pt idx="8">
                  <c:v>0.0846023688663283</c:v>
                </c:pt>
                <c:pt idx="9">
                  <c:v>0.0846023688663283</c:v>
                </c:pt>
                <c:pt idx="10">
                  <c:v>0.0910746812386157</c:v>
                </c:pt>
                <c:pt idx="11">
                  <c:v>0.0910746812386157</c:v>
                </c:pt>
                <c:pt idx="12">
                  <c:v>0.099601593625498</c:v>
                </c:pt>
                <c:pt idx="13">
                  <c:v>0.0961538461538462</c:v>
                </c:pt>
                <c:pt idx="14">
                  <c:v>0.0905797101449276</c:v>
                </c:pt>
                <c:pt idx="15">
                  <c:v>0.0905797101449276</c:v>
                </c:pt>
                <c:pt idx="16">
                  <c:v>0.0846023688663283</c:v>
                </c:pt>
                <c:pt idx="17">
                  <c:v>0.0846023688663283</c:v>
                </c:pt>
                <c:pt idx="18">
                  <c:v>0.0841042893187553</c:v>
                </c:pt>
                <c:pt idx="19">
                  <c:v>0.0835421888053467</c:v>
                </c:pt>
                <c:pt idx="20">
                  <c:v>0.091743119266055</c:v>
                </c:pt>
                <c:pt idx="21">
                  <c:v>0.0970873786407767</c:v>
                </c:pt>
                <c:pt idx="22">
                  <c:v>0.0925925925925926</c:v>
                </c:pt>
                <c:pt idx="23">
                  <c:v>0.0869565217391304</c:v>
                </c:pt>
                <c:pt idx="24">
                  <c:v>0.0854700854700855</c:v>
                </c:pt>
                <c:pt idx="25">
                  <c:v>0.0854700854700855</c:v>
                </c:pt>
                <c:pt idx="26">
                  <c:v>0.087719298245614</c:v>
                </c:pt>
                <c:pt idx="27">
                  <c:v>0.0869565217391304</c:v>
                </c:pt>
                <c:pt idx="28">
                  <c:v>0.0813008130081301</c:v>
                </c:pt>
                <c:pt idx="29">
                  <c:v>0.0819672131147541</c:v>
                </c:pt>
                <c:pt idx="30">
                  <c:v>0.0826446280991736</c:v>
                </c:pt>
                <c:pt idx="31">
                  <c:v>0.0806451612903226</c:v>
                </c:pt>
                <c:pt idx="32">
                  <c:v>0.078740157480315</c:v>
                </c:pt>
                <c:pt idx="33">
                  <c:v>0.0757575757575758</c:v>
                </c:pt>
                <c:pt idx="34">
                  <c:v>0.072463768115942</c:v>
                </c:pt>
                <c:pt idx="35">
                  <c:v>0.0699300699300699</c:v>
                </c:pt>
                <c:pt idx="36">
                  <c:v>0.0704225352112676</c:v>
                </c:pt>
                <c:pt idx="37">
                  <c:v>0.0704225352112676</c:v>
                </c:pt>
                <c:pt idx="38">
                  <c:v>0.0698036015706305</c:v>
                </c:pt>
                <c:pt idx="39">
                  <c:v>0.0692446991058609</c:v>
                </c:pt>
                <c:pt idx="40">
                  <c:v>0.0688481514963427</c:v>
                </c:pt>
                <c:pt idx="41">
                  <c:v>0.0685405652741673</c:v>
                </c:pt>
                <c:pt idx="42">
                  <c:v>0.0682892490315732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"Etanol"</c:f>
              <c:strCache>
                <c:ptCount val="1"/>
                <c:pt idx="0">
                  <c:v>Etanol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'INVENTARIO ETANOL'!$G$2:$G$44</c:f>
              <c:numCache>
                <c:formatCode>General</c:formatCode>
                <c:ptCount val="43"/>
                <c:pt idx="0">
                  <c:v>0.140845070422535</c:v>
                </c:pt>
                <c:pt idx="1">
                  <c:v>0.126582278481013</c:v>
                </c:pt>
                <c:pt idx="2">
                  <c:v>0.121212121212121</c:v>
                </c:pt>
                <c:pt idx="3">
                  <c:v>0.117096018735363</c:v>
                </c:pt>
                <c:pt idx="4">
                  <c:v>0.118203309692671</c:v>
                </c:pt>
                <c:pt idx="5">
                  <c:v>0.117370892018779</c:v>
                </c:pt>
                <c:pt idx="6">
                  <c:v>0.116550116550117</c:v>
                </c:pt>
                <c:pt idx="7">
                  <c:v>0.115606936416185</c:v>
                </c:pt>
                <c:pt idx="8">
                  <c:v>0.115606936416185</c:v>
                </c:pt>
                <c:pt idx="9">
                  <c:v>0.115606936416185</c:v>
                </c:pt>
                <c:pt idx="10">
                  <c:v>0.124843945068664</c:v>
                </c:pt>
                <c:pt idx="11">
                  <c:v>0.117096018735363</c:v>
                </c:pt>
                <c:pt idx="12">
                  <c:v>0.13262599469496</c:v>
                </c:pt>
                <c:pt idx="13">
                  <c:v>0.13262599469496</c:v>
                </c:pt>
                <c:pt idx="14">
                  <c:v>0.139470013947001</c:v>
                </c:pt>
                <c:pt idx="15">
                  <c:v>0.139470013947001</c:v>
                </c:pt>
                <c:pt idx="16">
                  <c:v>0.134952766531714</c:v>
                </c:pt>
                <c:pt idx="17">
                  <c:v>0.124843945068664</c:v>
                </c:pt>
                <c:pt idx="18">
                  <c:v>0.14367816091954</c:v>
                </c:pt>
                <c:pt idx="19">
                  <c:v>0.14367816091954</c:v>
                </c:pt>
                <c:pt idx="20">
                  <c:v>0.138888888888889</c:v>
                </c:pt>
                <c:pt idx="21">
                  <c:v>0.133333333333333</c:v>
                </c:pt>
                <c:pt idx="22">
                  <c:v>0.116279069767442</c:v>
                </c:pt>
                <c:pt idx="23">
                  <c:v>0.116279069767442</c:v>
                </c:pt>
                <c:pt idx="24">
                  <c:v>0.144927536231884</c:v>
                </c:pt>
                <c:pt idx="25">
                  <c:v>0.128205128205128</c:v>
                </c:pt>
                <c:pt idx="26">
                  <c:v>0.128205128205128</c:v>
                </c:pt>
                <c:pt idx="27">
                  <c:v>0.12987012987013</c:v>
                </c:pt>
                <c:pt idx="28">
                  <c:v>0.128205128205128</c:v>
                </c:pt>
                <c:pt idx="29">
                  <c:v>0.117647058823529</c:v>
                </c:pt>
                <c:pt idx="30">
                  <c:v>0.116279069767442</c:v>
                </c:pt>
                <c:pt idx="31">
                  <c:v>0.117647058823529</c:v>
                </c:pt>
                <c:pt idx="32">
                  <c:v>0.116279069767442</c:v>
                </c:pt>
                <c:pt idx="33">
                  <c:v>0.113636363636364</c:v>
                </c:pt>
                <c:pt idx="34">
                  <c:v>0.108695652173913</c:v>
                </c:pt>
                <c:pt idx="35">
                  <c:v>0.104166666666667</c:v>
                </c:pt>
                <c:pt idx="36">
                  <c:v>0.102040816326531</c:v>
                </c:pt>
                <c:pt idx="37">
                  <c:v>0.102040816326531</c:v>
                </c:pt>
                <c:pt idx="38">
                  <c:v>0.100381616231647</c:v>
                </c:pt>
                <c:pt idx="39">
                  <c:v>0.0981542698161229</c:v>
                </c:pt>
                <c:pt idx="40">
                  <c:v>0.0963444869916176</c:v>
                </c:pt>
                <c:pt idx="41">
                  <c:v>0.0928445836212079</c:v>
                </c:pt>
                <c:pt idx="42">
                  <c:v>0.0964982977592377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563175"/>
        <c:axId val="17658918"/>
      </c:lineChart>
      <c:catAx>
        <c:axId val="615631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Ano de fabricação</a:t>
                </a:r>
              </a:p>
            </c:rich>
          </c:tx>
          <c:layout>
            <c:manualLayout>
              <c:xMode val="edge"/>
              <c:yMode val="edge"/>
              <c:x val="0.454532794875366"/>
              <c:y val="0.90925188136343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17658918"/>
        <c:crosses val="autoZero"/>
        <c:auto val="1"/>
        <c:lblAlgn val="ctr"/>
        <c:lblOffset val="100"/>
        <c:noMultiLvlLbl val="0"/>
      </c:catAx>
      <c:valAx>
        <c:axId val="176589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Consumo de combustível (l/km)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615631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3322272932444"/>
          <c:y val="0.426480606790237"/>
          <c:w val="0.156497116204424"/>
          <c:h val="0.13177249793100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'Venda de Combustíveis'!$E$1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ffffff"/>
            </a:solidFill>
            <a:ln cap="rnd" w="34920">
              <a:solidFill>
                <a:srgbClr val="fffff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349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'Venda de Combustíveis'!$E$2:$E$429</c:f>
              <c:numCache>
                <c:formatCode>0.00%</c:formatCode>
                <c:ptCount val="428"/>
                <c:pt idx="0">
                  <c:v>0.454481527133916</c:v>
                </c:pt>
                <c:pt idx="1">
                  <c:v>0.516986647819115</c:v>
                </c:pt>
                <c:pt idx="2">
                  <c:v>0.671729570342827</c:v>
                </c:pt>
                <c:pt idx="3">
                  <c:v>0.53429245331285</c:v>
                </c:pt>
                <c:pt idx="4">
                  <c:v>0.564015019372235</c:v>
                </c:pt>
                <c:pt idx="5">
                  <c:v>0.551624067835354</c:v>
                </c:pt>
                <c:pt idx="6">
                  <c:v>0.444310517082396</c:v>
                </c:pt>
                <c:pt idx="7">
                  <c:v>0.655824390939802</c:v>
                </c:pt>
                <c:pt idx="8">
                  <c:v>0.57247333351039</c:v>
                </c:pt>
                <c:pt idx="9">
                  <c:v>0.464520609262943</c:v>
                </c:pt>
                <c:pt idx="10">
                  <c:v>0.573539243707098</c:v>
                </c:pt>
                <c:pt idx="11">
                  <c:v>0.556779843674848</c:v>
                </c:pt>
                <c:pt idx="12">
                  <c:v>0.419717450875915</c:v>
                </c:pt>
                <c:pt idx="13">
                  <c:v>0.247712705316952</c:v>
                </c:pt>
                <c:pt idx="14">
                  <c:v>0.541772322831384</c:v>
                </c:pt>
                <c:pt idx="15">
                  <c:v>0.679756784972171</c:v>
                </c:pt>
                <c:pt idx="16">
                  <c:v>0.533779164710113</c:v>
                </c:pt>
                <c:pt idx="17">
                  <c:v>0.49244867796386</c:v>
                </c:pt>
                <c:pt idx="18">
                  <c:v>0.542705135306966</c:v>
                </c:pt>
                <c:pt idx="19">
                  <c:v>0.384476905097007</c:v>
                </c:pt>
                <c:pt idx="20">
                  <c:v>0.495550926327803</c:v>
                </c:pt>
                <c:pt idx="21">
                  <c:v>0.453782101504096</c:v>
                </c:pt>
                <c:pt idx="22">
                  <c:v>0.512071747127418</c:v>
                </c:pt>
                <c:pt idx="23">
                  <c:v>0.537692528243431</c:v>
                </c:pt>
                <c:pt idx="24">
                  <c:v>0.497329591080968</c:v>
                </c:pt>
                <c:pt idx="25">
                  <c:v>0.552125867528329</c:v>
                </c:pt>
                <c:pt idx="26">
                  <c:v>0.473241299666701</c:v>
                </c:pt>
                <c:pt idx="27">
                  <c:v>0.541235975702658</c:v>
                </c:pt>
                <c:pt idx="28">
                  <c:v>0.488432466297258</c:v>
                </c:pt>
                <c:pt idx="29">
                  <c:v>0.620395162845457</c:v>
                </c:pt>
                <c:pt idx="30">
                  <c:v>0.506930327625267</c:v>
                </c:pt>
                <c:pt idx="31">
                  <c:v>0.509848855356864</c:v>
                </c:pt>
                <c:pt idx="32">
                  <c:v>0.584826883523733</c:v>
                </c:pt>
                <c:pt idx="33">
                  <c:v>0.49390485770501</c:v>
                </c:pt>
                <c:pt idx="34">
                  <c:v>0.513328674392437</c:v>
                </c:pt>
                <c:pt idx="35">
                  <c:v>0.561639974420152</c:v>
                </c:pt>
                <c:pt idx="36">
                  <c:v>0.475162113195517</c:v>
                </c:pt>
                <c:pt idx="37">
                  <c:v>0.549460324804802</c:v>
                </c:pt>
                <c:pt idx="38">
                  <c:v>0.485377059682389</c:v>
                </c:pt>
                <c:pt idx="39">
                  <c:v>0.48859978251688</c:v>
                </c:pt>
                <c:pt idx="40">
                  <c:v>0.488818593295353</c:v>
                </c:pt>
                <c:pt idx="41">
                  <c:v>0.489812471904591</c:v>
                </c:pt>
                <c:pt idx="42">
                  <c:v>0.482262857887941</c:v>
                </c:pt>
                <c:pt idx="43">
                  <c:v>0.491560384421096</c:v>
                </c:pt>
                <c:pt idx="44">
                  <c:v>0.508531399374116</c:v>
                </c:pt>
                <c:pt idx="45">
                  <c:v>0.422577181892484</c:v>
                </c:pt>
                <c:pt idx="46">
                  <c:v>0.400128200200733</c:v>
                </c:pt>
                <c:pt idx="47">
                  <c:v>0.581008226117181</c:v>
                </c:pt>
                <c:pt idx="48">
                  <c:v>0.487146628484192</c:v>
                </c:pt>
                <c:pt idx="49">
                  <c:v>0.473150369897995</c:v>
                </c:pt>
                <c:pt idx="50">
                  <c:v>0.508889048961083</c:v>
                </c:pt>
                <c:pt idx="51">
                  <c:v>0.468257368027564</c:v>
                </c:pt>
                <c:pt idx="52">
                  <c:v>0.413856311919374</c:v>
                </c:pt>
                <c:pt idx="53">
                  <c:v>0.441984157365859</c:v>
                </c:pt>
                <c:pt idx="54">
                  <c:v>0.477255120496052</c:v>
                </c:pt>
                <c:pt idx="55">
                  <c:v>0.438840367452873</c:v>
                </c:pt>
                <c:pt idx="56">
                  <c:v>0.450538106473422</c:v>
                </c:pt>
                <c:pt idx="57">
                  <c:v>0.401188523308614</c:v>
                </c:pt>
                <c:pt idx="58">
                  <c:v>0.529744287933173</c:v>
                </c:pt>
                <c:pt idx="59">
                  <c:v>0.554705706659727</c:v>
                </c:pt>
                <c:pt idx="60">
                  <c:v>0.393667825406646</c:v>
                </c:pt>
                <c:pt idx="61">
                  <c:v>0.415742954134189</c:v>
                </c:pt>
                <c:pt idx="62">
                  <c:v>0.395303557147636</c:v>
                </c:pt>
                <c:pt idx="63">
                  <c:v>0.43186311927426</c:v>
                </c:pt>
                <c:pt idx="64">
                  <c:v>0.422821044565753</c:v>
                </c:pt>
                <c:pt idx="65">
                  <c:v>0.372845408205873</c:v>
                </c:pt>
                <c:pt idx="66">
                  <c:v>0.433597887143035</c:v>
                </c:pt>
                <c:pt idx="67">
                  <c:v>0.465945481106111</c:v>
                </c:pt>
                <c:pt idx="68">
                  <c:v>0.443857480965052</c:v>
                </c:pt>
                <c:pt idx="69">
                  <c:v>0.471991388162531</c:v>
                </c:pt>
                <c:pt idx="70">
                  <c:v>0.475837182828509</c:v>
                </c:pt>
                <c:pt idx="71">
                  <c:v>0.416826785895983</c:v>
                </c:pt>
                <c:pt idx="72">
                  <c:v>0.347182106618353</c:v>
                </c:pt>
                <c:pt idx="73">
                  <c:v>0.362375366027962</c:v>
                </c:pt>
                <c:pt idx="74">
                  <c:v>0.393836001559869</c:v>
                </c:pt>
                <c:pt idx="75">
                  <c:v>0.385657470915374</c:v>
                </c:pt>
                <c:pt idx="76">
                  <c:v>0.40388602591087</c:v>
                </c:pt>
                <c:pt idx="77">
                  <c:v>0.354896345675557</c:v>
                </c:pt>
                <c:pt idx="78">
                  <c:v>0.400339675690163</c:v>
                </c:pt>
                <c:pt idx="79">
                  <c:v>0.339674204211511</c:v>
                </c:pt>
                <c:pt idx="80">
                  <c:v>0.361577536531026</c:v>
                </c:pt>
                <c:pt idx="81">
                  <c:v>0.385988014640296</c:v>
                </c:pt>
                <c:pt idx="82">
                  <c:v>0.417093210963219</c:v>
                </c:pt>
                <c:pt idx="83">
                  <c:v>0.424530652939469</c:v>
                </c:pt>
                <c:pt idx="84">
                  <c:v>0.296104484011169</c:v>
                </c:pt>
                <c:pt idx="85">
                  <c:v>0.290594372991378</c:v>
                </c:pt>
                <c:pt idx="86">
                  <c:v>0.269792158691105</c:v>
                </c:pt>
                <c:pt idx="87">
                  <c:v>0.310501286560902</c:v>
                </c:pt>
                <c:pt idx="88">
                  <c:v>0.44527664795444</c:v>
                </c:pt>
                <c:pt idx="89">
                  <c:v>0.312538026539858</c:v>
                </c:pt>
                <c:pt idx="90">
                  <c:v>0.333518623758977</c:v>
                </c:pt>
                <c:pt idx="91">
                  <c:v>0.321630624473099</c:v>
                </c:pt>
                <c:pt idx="92">
                  <c:v>0.316213454793027</c:v>
                </c:pt>
                <c:pt idx="93">
                  <c:v>0.34698198931111</c:v>
                </c:pt>
                <c:pt idx="94">
                  <c:v>0.376219206845121</c:v>
                </c:pt>
                <c:pt idx="95">
                  <c:v>0.361767344580577</c:v>
                </c:pt>
                <c:pt idx="96">
                  <c:v>0.252973415764699</c:v>
                </c:pt>
                <c:pt idx="97">
                  <c:v>0.276331092344817</c:v>
                </c:pt>
                <c:pt idx="98">
                  <c:v>0.276090925713241</c:v>
                </c:pt>
                <c:pt idx="99">
                  <c:v>0.285946746575582</c:v>
                </c:pt>
                <c:pt idx="100">
                  <c:v>0.275840262077642</c:v>
                </c:pt>
                <c:pt idx="101">
                  <c:v>0.300126932835803</c:v>
                </c:pt>
                <c:pt idx="102">
                  <c:v>0.301008683323773</c:v>
                </c:pt>
                <c:pt idx="103">
                  <c:v>0.248017645361708</c:v>
                </c:pt>
                <c:pt idx="104">
                  <c:v>0.270953927986139</c:v>
                </c:pt>
                <c:pt idx="105">
                  <c:v>0.310678328926954</c:v>
                </c:pt>
                <c:pt idx="106">
                  <c:v>0.282899660136471</c:v>
                </c:pt>
                <c:pt idx="107">
                  <c:v>0.239391915147352</c:v>
                </c:pt>
                <c:pt idx="108">
                  <c:v>0.204865432551369</c:v>
                </c:pt>
                <c:pt idx="109">
                  <c:v>0.256755370577324</c:v>
                </c:pt>
                <c:pt idx="110">
                  <c:v>0.219074258175373</c:v>
                </c:pt>
                <c:pt idx="111">
                  <c:v>0.200920183432589</c:v>
                </c:pt>
                <c:pt idx="112">
                  <c:v>0.235240217947677</c:v>
                </c:pt>
                <c:pt idx="113">
                  <c:v>0.225171606752867</c:v>
                </c:pt>
                <c:pt idx="114">
                  <c:v>0.234320955280393</c:v>
                </c:pt>
                <c:pt idx="115">
                  <c:v>0.225973661960108</c:v>
                </c:pt>
                <c:pt idx="116">
                  <c:v>0.260058479003977</c:v>
                </c:pt>
                <c:pt idx="117">
                  <c:v>0.256380474483159</c:v>
                </c:pt>
                <c:pt idx="118">
                  <c:v>0.214727272351278</c:v>
                </c:pt>
                <c:pt idx="119">
                  <c:v>0.251324385423378</c:v>
                </c:pt>
                <c:pt idx="120">
                  <c:v>0.187765151757434</c:v>
                </c:pt>
                <c:pt idx="121">
                  <c:v>0.18930021686894</c:v>
                </c:pt>
                <c:pt idx="122">
                  <c:v>0.190799354504026</c:v>
                </c:pt>
                <c:pt idx="123">
                  <c:v>0.216394080940951</c:v>
                </c:pt>
                <c:pt idx="124">
                  <c:v>0.244151566349237</c:v>
                </c:pt>
                <c:pt idx="125">
                  <c:v>0.197124042060497</c:v>
                </c:pt>
                <c:pt idx="126">
                  <c:v>0.176592259099342</c:v>
                </c:pt>
                <c:pt idx="127">
                  <c:v>0.200134857596362</c:v>
                </c:pt>
                <c:pt idx="128">
                  <c:v>0.199258202789286</c:v>
                </c:pt>
                <c:pt idx="129">
                  <c:v>0.180670261556959</c:v>
                </c:pt>
                <c:pt idx="130">
                  <c:v>0.198284794509117</c:v>
                </c:pt>
                <c:pt idx="131">
                  <c:v>0.207665804379701</c:v>
                </c:pt>
                <c:pt idx="132">
                  <c:v>0.157319327307716</c:v>
                </c:pt>
                <c:pt idx="133">
                  <c:v>0.170272195921856</c:v>
                </c:pt>
                <c:pt idx="134">
                  <c:v>0.167314308607117</c:v>
                </c:pt>
                <c:pt idx="135">
                  <c:v>0.169389473678813</c:v>
                </c:pt>
                <c:pt idx="136">
                  <c:v>0.158014433990651</c:v>
                </c:pt>
                <c:pt idx="137">
                  <c:v>0.165768556145362</c:v>
                </c:pt>
                <c:pt idx="138">
                  <c:v>0.170005160964185</c:v>
                </c:pt>
                <c:pt idx="139">
                  <c:v>0.142950242492926</c:v>
                </c:pt>
                <c:pt idx="140">
                  <c:v>0.175282835208438</c:v>
                </c:pt>
                <c:pt idx="141">
                  <c:v>0.158083322140387</c:v>
                </c:pt>
                <c:pt idx="142">
                  <c:v>0.153686691929541</c:v>
                </c:pt>
                <c:pt idx="143">
                  <c:v>0.161653508020284</c:v>
                </c:pt>
                <c:pt idx="144">
                  <c:v>0.116552529412767</c:v>
                </c:pt>
                <c:pt idx="145">
                  <c:v>0.146488748243275</c:v>
                </c:pt>
                <c:pt idx="146">
                  <c:v>0.15440437331451</c:v>
                </c:pt>
                <c:pt idx="147">
                  <c:v>0.162932824960696</c:v>
                </c:pt>
                <c:pt idx="148">
                  <c:v>0.144465230501698</c:v>
                </c:pt>
                <c:pt idx="149">
                  <c:v>0.131710162536226</c:v>
                </c:pt>
                <c:pt idx="150">
                  <c:v>0.141831118446452</c:v>
                </c:pt>
                <c:pt idx="151">
                  <c:v>0.168172168328774</c:v>
                </c:pt>
                <c:pt idx="152">
                  <c:v>0.126295148283936</c:v>
                </c:pt>
                <c:pt idx="153">
                  <c:v>0.155901445340689</c:v>
                </c:pt>
                <c:pt idx="154">
                  <c:v>0.125981408080937</c:v>
                </c:pt>
                <c:pt idx="155">
                  <c:v>0.147356554013173</c:v>
                </c:pt>
                <c:pt idx="156">
                  <c:v>0.11088785134976</c:v>
                </c:pt>
                <c:pt idx="157">
                  <c:v>0.137665288930745</c:v>
                </c:pt>
                <c:pt idx="158">
                  <c:v>0.136984280524935</c:v>
                </c:pt>
                <c:pt idx="159">
                  <c:v>0.134086304998009</c:v>
                </c:pt>
                <c:pt idx="160">
                  <c:v>0.142447299727615</c:v>
                </c:pt>
                <c:pt idx="161">
                  <c:v>0.121488472500269</c:v>
                </c:pt>
                <c:pt idx="162">
                  <c:v>0.119171906558683</c:v>
                </c:pt>
                <c:pt idx="163">
                  <c:v>0.122777287894198</c:v>
                </c:pt>
                <c:pt idx="164">
                  <c:v>0.112399076492239</c:v>
                </c:pt>
                <c:pt idx="165">
                  <c:v>0.0994511529118901</c:v>
                </c:pt>
                <c:pt idx="166">
                  <c:v>0.111435309426611</c:v>
                </c:pt>
                <c:pt idx="167">
                  <c:v>0.129344473728661</c:v>
                </c:pt>
                <c:pt idx="168">
                  <c:v>0.0967417073473916</c:v>
                </c:pt>
                <c:pt idx="169">
                  <c:v>0.105643746362288</c:v>
                </c:pt>
                <c:pt idx="170">
                  <c:v>0.0973741391391335</c:v>
                </c:pt>
                <c:pt idx="171">
                  <c:v>0.0997137458077883</c:v>
                </c:pt>
                <c:pt idx="172">
                  <c:v>0.108376285749564</c:v>
                </c:pt>
                <c:pt idx="173">
                  <c:v>0.116842697356282</c:v>
                </c:pt>
                <c:pt idx="174">
                  <c:v>0.119119972933335</c:v>
                </c:pt>
                <c:pt idx="175">
                  <c:v>0.0884817531678915</c:v>
                </c:pt>
                <c:pt idx="176">
                  <c:v>0.100056362083112</c:v>
                </c:pt>
                <c:pt idx="177">
                  <c:v>0.0830802327146463</c:v>
                </c:pt>
                <c:pt idx="178">
                  <c:v>0.0857881718063474</c:v>
                </c:pt>
                <c:pt idx="179">
                  <c:v>0.0881973400632106</c:v>
                </c:pt>
                <c:pt idx="180">
                  <c:v>0.131671437211596</c:v>
                </c:pt>
                <c:pt idx="181">
                  <c:v>0.104903360926801</c:v>
                </c:pt>
                <c:pt idx="182">
                  <c:v>0.10913439254051</c:v>
                </c:pt>
                <c:pt idx="183">
                  <c:v>0.10157512720125</c:v>
                </c:pt>
                <c:pt idx="184">
                  <c:v>0.0979939805837776</c:v>
                </c:pt>
                <c:pt idx="185">
                  <c:v>0.0845620109916388</c:v>
                </c:pt>
                <c:pt idx="186">
                  <c:v>0.089072794737599</c:v>
                </c:pt>
                <c:pt idx="187">
                  <c:v>0.0889827151507057</c:v>
                </c:pt>
                <c:pt idx="188">
                  <c:v>0.119103367347217</c:v>
                </c:pt>
                <c:pt idx="189">
                  <c:v>0.0751299109405363</c:v>
                </c:pt>
                <c:pt idx="190">
                  <c:v>0.0881427469950078</c:v>
                </c:pt>
                <c:pt idx="191">
                  <c:v>0.0886659738073175</c:v>
                </c:pt>
                <c:pt idx="192">
                  <c:v>0.0883233930661474</c:v>
                </c:pt>
                <c:pt idx="193">
                  <c:v>0.135778102302973</c:v>
                </c:pt>
                <c:pt idx="194">
                  <c:v>0.0966330937763527</c:v>
                </c:pt>
                <c:pt idx="195">
                  <c:v>0.112708811319809</c:v>
                </c:pt>
                <c:pt idx="196">
                  <c:v>0.083556761440936</c:v>
                </c:pt>
                <c:pt idx="197">
                  <c:v>0.0868205671593562</c:v>
                </c:pt>
                <c:pt idx="198">
                  <c:v>0.0820227222788887</c:v>
                </c:pt>
                <c:pt idx="199">
                  <c:v>0.0859426329154893</c:v>
                </c:pt>
                <c:pt idx="200">
                  <c:v>0.105592837166832</c:v>
                </c:pt>
                <c:pt idx="201">
                  <c:v>0.116357421749396</c:v>
                </c:pt>
                <c:pt idx="202">
                  <c:v>0.0720522375198293</c:v>
                </c:pt>
                <c:pt idx="203">
                  <c:v>0.125021215342606</c:v>
                </c:pt>
                <c:pt idx="204">
                  <c:v>0.195090746260092</c:v>
                </c:pt>
                <c:pt idx="205">
                  <c:v>0.101973863368777</c:v>
                </c:pt>
                <c:pt idx="206">
                  <c:v>0.092159233353975</c:v>
                </c:pt>
                <c:pt idx="207">
                  <c:v>0.136593758437872</c:v>
                </c:pt>
                <c:pt idx="208">
                  <c:v>0.131959596046911</c:v>
                </c:pt>
                <c:pt idx="209">
                  <c:v>0.0898832349091127</c:v>
                </c:pt>
                <c:pt idx="210">
                  <c:v>0.183284829582972</c:v>
                </c:pt>
                <c:pt idx="211">
                  <c:v>0.240832223463312</c:v>
                </c:pt>
                <c:pt idx="212">
                  <c:v>0.210150202253682</c:v>
                </c:pt>
                <c:pt idx="213">
                  <c:v>0.270511370655435</c:v>
                </c:pt>
                <c:pt idx="214">
                  <c:v>0.268141838053715</c:v>
                </c:pt>
                <c:pt idx="215">
                  <c:v>0.096429637055365</c:v>
                </c:pt>
                <c:pt idx="216">
                  <c:v>0.171063592153699</c:v>
                </c:pt>
                <c:pt idx="217">
                  <c:v>0.171149469990623</c:v>
                </c:pt>
                <c:pt idx="218">
                  <c:v>0.235837792282481</c:v>
                </c:pt>
                <c:pt idx="219">
                  <c:v>0.18485817255128</c:v>
                </c:pt>
                <c:pt idx="220">
                  <c:v>0.17817870072659</c:v>
                </c:pt>
                <c:pt idx="221">
                  <c:v>0.179793198940118</c:v>
                </c:pt>
                <c:pt idx="222">
                  <c:v>0.164747532129068</c:v>
                </c:pt>
                <c:pt idx="223">
                  <c:v>0.184642641954842</c:v>
                </c:pt>
                <c:pt idx="224">
                  <c:v>0.204499515126737</c:v>
                </c:pt>
                <c:pt idx="225">
                  <c:v>0.193070247744817</c:v>
                </c:pt>
                <c:pt idx="226">
                  <c:v>0.199382360572431</c:v>
                </c:pt>
                <c:pt idx="227">
                  <c:v>0.150661236983492</c:v>
                </c:pt>
                <c:pt idx="228">
                  <c:v>0.2413950429305</c:v>
                </c:pt>
                <c:pt idx="229">
                  <c:v>0.298178334845556</c:v>
                </c:pt>
                <c:pt idx="230">
                  <c:v>0.272159663125529</c:v>
                </c:pt>
                <c:pt idx="231">
                  <c:v>0.263290514595186</c:v>
                </c:pt>
                <c:pt idx="232">
                  <c:v>0.27803972740153</c:v>
                </c:pt>
                <c:pt idx="233">
                  <c:v>0.26291338952811</c:v>
                </c:pt>
                <c:pt idx="234">
                  <c:v>0.230760496591534</c:v>
                </c:pt>
                <c:pt idx="235">
                  <c:v>0.229084056175262</c:v>
                </c:pt>
                <c:pt idx="236">
                  <c:v>0.191666746572953</c:v>
                </c:pt>
                <c:pt idx="237">
                  <c:v>0.167808834609533</c:v>
                </c:pt>
                <c:pt idx="238">
                  <c:v>0.219883691894182</c:v>
                </c:pt>
                <c:pt idx="239">
                  <c:v>0.215266678205727</c:v>
                </c:pt>
                <c:pt idx="240">
                  <c:v>0.0902063992740855</c:v>
                </c:pt>
                <c:pt idx="241">
                  <c:v>0.0663860650902167</c:v>
                </c:pt>
                <c:pt idx="242">
                  <c:v>0.0813617557263739</c:v>
                </c:pt>
                <c:pt idx="243">
                  <c:v>0.160827408146696</c:v>
                </c:pt>
                <c:pt idx="244">
                  <c:v>0.143858126378923</c:v>
                </c:pt>
                <c:pt idx="245">
                  <c:v>0.155066584045551</c:v>
                </c:pt>
                <c:pt idx="246">
                  <c:v>0.159994706544035</c:v>
                </c:pt>
                <c:pt idx="247">
                  <c:v>0.146249923558212</c:v>
                </c:pt>
                <c:pt idx="248">
                  <c:v>0.166846501741428</c:v>
                </c:pt>
                <c:pt idx="249">
                  <c:v>0.129488969769519</c:v>
                </c:pt>
                <c:pt idx="250">
                  <c:v>0.13059982018682</c:v>
                </c:pt>
                <c:pt idx="251">
                  <c:v>0.121854346571747</c:v>
                </c:pt>
                <c:pt idx="252">
                  <c:v>0.0756790218989399</c:v>
                </c:pt>
                <c:pt idx="253">
                  <c:v>0.086220128333582</c:v>
                </c:pt>
                <c:pt idx="254">
                  <c:v>0.0929753094776707</c:v>
                </c:pt>
                <c:pt idx="255">
                  <c:v>0.0827744724974555</c:v>
                </c:pt>
                <c:pt idx="256">
                  <c:v>0.109537187566483</c:v>
                </c:pt>
                <c:pt idx="257">
                  <c:v>0.0915260413108333</c:v>
                </c:pt>
                <c:pt idx="258">
                  <c:v>0.0883412497633583</c:v>
                </c:pt>
                <c:pt idx="259">
                  <c:v>0.0906196185116923</c:v>
                </c:pt>
                <c:pt idx="260">
                  <c:v>0.0573528011450953</c:v>
                </c:pt>
                <c:pt idx="261">
                  <c:v>0.0660211191323852</c:v>
                </c:pt>
                <c:pt idx="262">
                  <c:v>0.0337535792546541</c:v>
                </c:pt>
                <c:pt idx="263">
                  <c:v>0.058423798995028</c:v>
                </c:pt>
                <c:pt idx="264">
                  <c:v>0.0491493576731097</c:v>
                </c:pt>
                <c:pt idx="265">
                  <c:v>0.0474117931945645</c:v>
                </c:pt>
                <c:pt idx="266">
                  <c:v>0.0555587815160208</c:v>
                </c:pt>
                <c:pt idx="267">
                  <c:v>0.0452108771032432</c:v>
                </c:pt>
                <c:pt idx="268">
                  <c:v>0.0506834181961518</c:v>
                </c:pt>
                <c:pt idx="269">
                  <c:v>0.0498688571185595</c:v>
                </c:pt>
                <c:pt idx="270">
                  <c:v>0.0474023883791285</c:v>
                </c:pt>
                <c:pt idx="271">
                  <c:v>0.0495602454523366</c:v>
                </c:pt>
                <c:pt idx="272">
                  <c:v>0.0622714954422272</c:v>
                </c:pt>
                <c:pt idx="273">
                  <c:v>0.0627857134008102</c:v>
                </c:pt>
                <c:pt idx="274">
                  <c:v>0.0531106418458084</c:v>
                </c:pt>
                <c:pt idx="275">
                  <c:v>0.0428418733585218</c:v>
                </c:pt>
                <c:pt idx="276">
                  <c:v>0.0667243365267633</c:v>
                </c:pt>
                <c:pt idx="277">
                  <c:v>0.0659740092936809</c:v>
                </c:pt>
                <c:pt idx="278">
                  <c:v>0.0652930963411115</c:v>
                </c:pt>
                <c:pt idx="279">
                  <c:v>0.0621392045016841</c:v>
                </c:pt>
                <c:pt idx="280">
                  <c:v>0.0667634301038587</c:v>
                </c:pt>
                <c:pt idx="281">
                  <c:v>0.0606456848667711</c:v>
                </c:pt>
                <c:pt idx="282">
                  <c:v>0.062401451775871</c:v>
                </c:pt>
                <c:pt idx="283">
                  <c:v>0.0853850847769605</c:v>
                </c:pt>
                <c:pt idx="284">
                  <c:v>0.0804542392455009</c:v>
                </c:pt>
                <c:pt idx="285">
                  <c:v>0.0412108234378042</c:v>
                </c:pt>
                <c:pt idx="286">
                  <c:v>0.062453298950643</c:v>
                </c:pt>
                <c:pt idx="287">
                  <c:v>0.0656524220822661</c:v>
                </c:pt>
                <c:pt idx="288">
                  <c:v>0.0512098062090087</c:v>
                </c:pt>
                <c:pt idx="289">
                  <c:v>0.0618048542872225</c:v>
                </c:pt>
                <c:pt idx="290">
                  <c:v>0.0603635523123159</c:v>
                </c:pt>
                <c:pt idx="291">
                  <c:v>0.0606272721710359</c:v>
                </c:pt>
                <c:pt idx="292">
                  <c:v>0.0524291567734027</c:v>
                </c:pt>
                <c:pt idx="293">
                  <c:v>0.0493015768151599</c:v>
                </c:pt>
                <c:pt idx="294">
                  <c:v>0.0573293094110901</c:v>
                </c:pt>
                <c:pt idx="295">
                  <c:v>0.0681678306874888</c:v>
                </c:pt>
                <c:pt idx="296">
                  <c:v>0.0706643046273061</c:v>
                </c:pt>
                <c:pt idx="297">
                  <c:v>0.0646113781469488</c:v>
                </c:pt>
                <c:pt idx="298">
                  <c:v>0.0505793364184667</c:v>
                </c:pt>
                <c:pt idx="299">
                  <c:v>0.0672535051499614</c:v>
                </c:pt>
                <c:pt idx="300">
                  <c:v>0.0658972786107267</c:v>
                </c:pt>
                <c:pt idx="301">
                  <c:v>0.104011817666485</c:v>
                </c:pt>
                <c:pt idx="302">
                  <c:v>0.099586722288062</c:v>
                </c:pt>
                <c:pt idx="303">
                  <c:v>0.104209514608554</c:v>
                </c:pt>
                <c:pt idx="304">
                  <c:v>0.0887347351687261</c:v>
                </c:pt>
                <c:pt idx="305">
                  <c:v>0.0919550554184212</c:v>
                </c:pt>
                <c:pt idx="306">
                  <c:v>0.0942004885228233</c:v>
                </c:pt>
                <c:pt idx="307">
                  <c:v>0.104042976403528</c:v>
                </c:pt>
                <c:pt idx="308">
                  <c:v>0.0831759515033536</c:v>
                </c:pt>
                <c:pt idx="309">
                  <c:v>0.0739428486643923</c:v>
                </c:pt>
                <c:pt idx="310">
                  <c:v>0.0917957072463297</c:v>
                </c:pt>
                <c:pt idx="311">
                  <c:v>0.0883160481475163</c:v>
                </c:pt>
                <c:pt idx="312">
                  <c:v>0.0330742810171857</c:v>
                </c:pt>
                <c:pt idx="313">
                  <c:v>0.0358474436556785</c:v>
                </c:pt>
                <c:pt idx="314">
                  <c:v>0.0416190874368008</c:v>
                </c:pt>
                <c:pt idx="315">
                  <c:v>0.0429127219864047</c:v>
                </c:pt>
                <c:pt idx="316">
                  <c:v>0.0387112201659898</c:v>
                </c:pt>
                <c:pt idx="317">
                  <c:v>0.0342289939071687</c:v>
                </c:pt>
                <c:pt idx="318">
                  <c:v>0.0473196401831444</c:v>
                </c:pt>
                <c:pt idx="319">
                  <c:v>0.0304753415009204</c:v>
                </c:pt>
                <c:pt idx="320">
                  <c:v>0.045875627673981</c:v>
                </c:pt>
                <c:pt idx="321">
                  <c:v>0.0270747393331945</c:v>
                </c:pt>
                <c:pt idx="322">
                  <c:v>0.0245369596699054</c:v>
                </c:pt>
                <c:pt idx="323">
                  <c:v>0.0183929040213412</c:v>
                </c:pt>
                <c:pt idx="324">
                  <c:v>0.0168620430940786</c:v>
                </c:pt>
                <c:pt idx="325">
                  <c:v>0.0163917630582282</c:v>
                </c:pt>
                <c:pt idx="326">
                  <c:v>0.0140554646554874</c:v>
                </c:pt>
                <c:pt idx="327">
                  <c:v>0.0156800260709477</c:v>
                </c:pt>
                <c:pt idx="328">
                  <c:v>0.0175700622629073</c:v>
                </c:pt>
                <c:pt idx="329">
                  <c:v>0.0427289112588505</c:v>
                </c:pt>
                <c:pt idx="330">
                  <c:v>0.0663638002146885</c:v>
                </c:pt>
                <c:pt idx="331">
                  <c:v>0.0413405482024817</c:v>
                </c:pt>
                <c:pt idx="332">
                  <c:v>0.0549094567022249</c:v>
                </c:pt>
                <c:pt idx="333">
                  <c:v>0.0501778822236709</c:v>
                </c:pt>
                <c:pt idx="334">
                  <c:v>0.0177499727929599</c:v>
                </c:pt>
                <c:pt idx="335">
                  <c:v>0.0130071061251097</c:v>
                </c:pt>
                <c:pt idx="336">
                  <c:v>0.0388103292087496</c:v>
                </c:pt>
                <c:pt idx="337">
                  <c:v>0.0525975159761818</c:v>
                </c:pt>
                <c:pt idx="338">
                  <c:v>0.0486020037888171</c:v>
                </c:pt>
                <c:pt idx="339">
                  <c:v>0.0463272213069208</c:v>
                </c:pt>
                <c:pt idx="340">
                  <c:v>0.0569023130472085</c:v>
                </c:pt>
                <c:pt idx="341">
                  <c:v>0.124254366632115</c:v>
                </c:pt>
                <c:pt idx="342">
                  <c:v>0.20580824184897</c:v>
                </c:pt>
                <c:pt idx="343">
                  <c:v>0.260963604464392</c:v>
                </c:pt>
                <c:pt idx="344">
                  <c:v>0.269045578300408</c:v>
                </c:pt>
                <c:pt idx="345">
                  <c:v>0.217727009821376</c:v>
                </c:pt>
                <c:pt idx="346">
                  <c:v>0.132760112371096</c:v>
                </c:pt>
                <c:pt idx="347">
                  <c:v>0.0889517056343427</c:v>
                </c:pt>
                <c:pt idx="348">
                  <c:v>0.158529589601889</c:v>
                </c:pt>
                <c:pt idx="349">
                  <c:v>0.0857532832703929</c:v>
                </c:pt>
                <c:pt idx="350">
                  <c:v>0.105718723704492</c:v>
                </c:pt>
                <c:pt idx="351">
                  <c:v>0.111592344019878</c:v>
                </c:pt>
                <c:pt idx="352">
                  <c:v>0.141763417937953</c:v>
                </c:pt>
                <c:pt idx="353">
                  <c:v>0.135248406118575</c:v>
                </c:pt>
                <c:pt idx="354">
                  <c:v>0.140805921962336</c:v>
                </c:pt>
                <c:pt idx="355">
                  <c:v>0.147302809477978</c:v>
                </c:pt>
                <c:pt idx="356">
                  <c:v>0.156507996064032</c:v>
                </c:pt>
                <c:pt idx="357">
                  <c:v>0.159928726863266</c:v>
                </c:pt>
                <c:pt idx="358">
                  <c:v>0.138856943718418</c:v>
                </c:pt>
                <c:pt idx="359">
                  <c:v>0.152667406461077</c:v>
                </c:pt>
                <c:pt idx="360">
                  <c:v>0.134183498312714</c:v>
                </c:pt>
                <c:pt idx="361">
                  <c:v>0.191916427840123</c:v>
                </c:pt>
                <c:pt idx="362">
                  <c:v>0.0997580900792416</c:v>
                </c:pt>
                <c:pt idx="363">
                  <c:v>0.0655442630123909</c:v>
                </c:pt>
                <c:pt idx="364">
                  <c:v>0.0444811945961064</c:v>
                </c:pt>
                <c:pt idx="365">
                  <c:v>0.0704011064506798</c:v>
                </c:pt>
                <c:pt idx="366">
                  <c:v>0.130865557800825</c:v>
                </c:pt>
                <c:pt idx="367">
                  <c:v>0.138776266939272</c:v>
                </c:pt>
                <c:pt idx="368">
                  <c:v>0.181219732806555</c:v>
                </c:pt>
                <c:pt idx="369">
                  <c:v>0.271917021394951</c:v>
                </c:pt>
                <c:pt idx="370">
                  <c:v>0.179996778470269</c:v>
                </c:pt>
                <c:pt idx="371">
                  <c:v>0.109927799144261</c:v>
                </c:pt>
                <c:pt idx="372">
                  <c:v>0.130393886547252</c:v>
                </c:pt>
                <c:pt idx="373">
                  <c:v>0.173252165148665</c:v>
                </c:pt>
                <c:pt idx="374">
                  <c:v>0.136666817708887</c:v>
                </c:pt>
                <c:pt idx="375">
                  <c:v>0.111276686828782</c:v>
                </c:pt>
                <c:pt idx="376">
                  <c:v>0.106347121908514</c:v>
                </c:pt>
                <c:pt idx="377">
                  <c:v>0.0965456481039609</c:v>
                </c:pt>
                <c:pt idx="378">
                  <c:v>0.111007221296278</c:v>
                </c:pt>
                <c:pt idx="379">
                  <c:v>0.0978254953189637</c:v>
                </c:pt>
                <c:pt idx="380">
                  <c:v>0.0838599746745327</c:v>
                </c:pt>
                <c:pt idx="381">
                  <c:v>0.0615856915425982</c:v>
                </c:pt>
                <c:pt idx="382">
                  <c:v>0.0584212229410022</c:v>
                </c:pt>
                <c:pt idx="383">
                  <c:v>0.0807079477149127</c:v>
                </c:pt>
                <c:pt idx="384">
                  <c:v>0.0707269824595417</c:v>
                </c:pt>
                <c:pt idx="385">
                  <c:v>0.08616239412825</c:v>
                </c:pt>
                <c:pt idx="386">
                  <c:v>0.102030096281838</c:v>
                </c:pt>
                <c:pt idx="387">
                  <c:v>0.107748925075017</c:v>
                </c:pt>
                <c:pt idx="388">
                  <c:v>0.0943161546896224</c:v>
                </c:pt>
                <c:pt idx="389">
                  <c:v>0.0504567579102043</c:v>
                </c:pt>
                <c:pt idx="390">
                  <c:v>0.102993573119856</c:v>
                </c:pt>
                <c:pt idx="391">
                  <c:v>0.084111826838</c:v>
                </c:pt>
                <c:pt idx="392">
                  <c:v>0.0836441067147981</c:v>
                </c:pt>
                <c:pt idx="393">
                  <c:v>0.0525277766304572</c:v>
                </c:pt>
                <c:pt idx="394">
                  <c:v>0.045501181700514</c:v>
                </c:pt>
                <c:pt idx="395">
                  <c:v>0.0445155002541437</c:v>
                </c:pt>
                <c:pt idx="396">
                  <c:v>0.239541674536203</c:v>
                </c:pt>
                <c:pt idx="397">
                  <c:v>0.0702057670850534</c:v>
                </c:pt>
                <c:pt idx="398">
                  <c:v>0.113330677118533</c:v>
                </c:pt>
                <c:pt idx="399">
                  <c:v>0.0634884540606915</c:v>
                </c:pt>
                <c:pt idx="400">
                  <c:v>0.130305763547786</c:v>
                </c:pt>
                <c:pt idx="401">
                  <c:v>0.110478434871319</c:v>
                </c:pt>
                <c:pt idx="402">
                  <c:v>0.176589754264487</c:v>
                </c:pt>
                <c:pt idx="403">
                  <c:v>0.208729218343964</c:v>
                </c:pt>
                <c:pt idx="404">
                  <c:v>0.210108523469049</c:v>
                </c:pt>
                <c:pt idx="405">
                  <c:v>0.220206051860038</c:v>
                </c:pt>
                <c:pt idx="406">
                  <c:v>0.111978030439135</c:v>
                </c:pt>
                <c:pt idx="407">
                  <c:v>0.105143558446913</c:v>
                </c:pt>
                <c:pt idx="408">
                  <c:v>0.290805362415261</c:v>
                </c:pt>
                <c:pt idx="409">
                  <c:v>0.236223647360403</c:v>
                </c:pt>
                <c:pt idx="410">
                  <c:v>0.283905453502471</c:v>
                </c:pt>
                <c:pt idx="411">
                  <c:v>0.348123424516852</c:v>
                </c:pt>
                <c:pt idx="412">
                  <c:v>0.293084928464777</c:v>
                </c:pt>
                <c:pt idx="413">
                  <c:v>0.321813773026141</c:v>
                </c:pt>
                <c:pt idx="414">
                  <c:v>0.282598469802369</c:v>
                </c:pt>
                <c:pt idx="415">
                  <c:v>0.299357222250321</c:v>
                </c:pt>
                <c:pt idx="416">
                  <c:v>0.278997261681812</c:v>
                </c:pt>
                <c:pt idx="417">
                  <c:v>0.292609227434328</c:v>
                </c:pt>
                <c:pt idx="418">
                  <c:v>0.302607503714247</c:v>
                </c:pt>
                <c:pt idx="419">
                  <c:v>0.275682210739972</c:v>
                </c:pt>
                <c:pt idx="420">
                  <c:v>0.249297144912618</c:v>
                </c:pt>
                <c:pt idx="421">
                  <c:v>0.262647312570846</c:v>
                </c:pt>
                <c:pt idx="422">
                  <c:v>0.243228803016824</c:v>
                </c:pt>
                <c:pt idx="423">
                  <c:v>0.239695375824539</c:v>
                </c:pt>
                <c:pt idx="424">
                  <c:v>0.264967091023672</c:v>
                </c:pt>
                <c:pt idx="425">
                  <c:v>0.233820956886398</c:v>
                </c:pt>
                <c:pt idx="426">
                  <c:v>0.228081606891993</c:v>
                </c:pt>
                <c:pt idx="427">
                  <c:v>0.218339432793014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410731"/>
        <c:axId val="30782116"/>
      </c:lineChart>
      <c:catAx>
        <c:axId val="104107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fffff"/>
            </a:solidFill>
            <a:round/>
          </a:ln>
        </c:spPr>
        <c:txPr>
          <a:bodyPr/>
          <a:lstStyle/>
          <a:p>
            <a:pPr>
              <a:defRPr b="0" sz="900" spc="99" strike="noStrike" u="none">
                <a:solidFill>
                  <a:srgbClr val="ffffff"/>
                </a:solidFill>
                <a:uFillTx/>
                <a:latin typeface="Calibri"/>
              </a:defRPr>
            </a:pPr>
          </a:p>
        </c:txPr>
        <c:crossAx val="30782116"/>
        <c:crosses val="autoZero"/>
        <c:auto val="1"/>
        <c:lblAlgn val="ctr"/>
        <c:lblOffset val="100"/>
        <c:noMultiLvlLbl val="0"/>
      </c:catAx>
      <c:valAx>
        <c:axId val="30782116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ffffff"/>
                </a:solidFill>
                <a:uFillTx/>
                <a:latin typeface="Calibri"/>
              </a:defRPr>
            </a:pPr>
          </a:p>
        </c:txPr>
        <c:crossAx val="104107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5b9bd5"/>
    </a:solidFill>
    <a:ln w="9360">
      <a:solidFill>
        <a:srgbClr val="5b9bd5"/>
      </a:solidFill>
      <a:round/>
    </a:ln>
  </c:spPr>
  <c:userShapes r:id="rId1"/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1111320</xdr:colOff>
      <xdr:row>6</xdr:row>
      <xdr:rowOff>80280</xdr:rowOff>
    </xdr:from>
    <xdr:to>
      <xdr:col>17</xdr:col>
      <xdr:colOff>412560</xdr:colOff>
      <xdr:row>23</xdr:row>
      <xdr:rowOff>94320</xdr:rowOff>
    </xdr:to>
    <xdr:graphicFrame>
      <xdr:nvGraphicFramePr>
        <xdr:cNvPr id="0" name="Gráfico 1"/>
        <xdr:cNvGraphicFramePr/>
      </xdr:nvGraphicFramePr>
      <xdr:xfrm>
        <a:off x="14385960" y="1477800"/>
        <a:ext cx="5246280" cy="325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29</xdr:row>
      <xdr:rowOff>126360</xdr:rowOff>
    </xdr:from>
    <xdr:to>
      <xdr:col>17</xdr:col>
      <xdr:colOff>523440</xdr:colOff>
      <xdr:row>46</xdr:row>
      <xdr:rowOff>140400</xdr:rowOff>
    </xdr:to>
    <xdr:graphicFrame>
      <xdr:nvGraphicFramePr>
        <xdr:cNvPr id="1" name="Gráfico 5"/>
        <xdr:cNvGraphicFramePr/>
      </xdr:nvGraphicFramePr>
      <xdr:xfrm>
        <a:off x="14573160" y="5905440"/>
        <a:ext cx="5169960" cy="325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730080</xdr:colOff>
      <xdr:row>46</xdr:row>
      <xdr:rowOff>158040</xdr:rowOff>
    </xdr:from>
    <xdr:to>
      <xdr:col>21</xdr:col>
      <xdr:colOff>304200</xdr:colOff>
      <xdr:row>61</xdr:row>
      <xdr:rowOff>113400</xdr:rowOff>
    </xdr:to>
    <xdr:pic>
      <xdr:nvPicPr>
        <xdr:cNvPr id="2" name="Imagem 1" descr=""/>
        <xdr:cNvPicPr/>
      </xdr:nvPicPr>
      <xdr:blipFill>
        <a:blip r:embed="rId1"/>
        <a:stretch/>
      </xdr:blipFill>
      <xdr:spPr>
        <a:xfrm>
          <a:off x="16984800" y="9175680"/>
          <a:ext cx="5297400" cy="281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383400</xdr:colOff>
      <xdr:row>50</xdr:row>
      <xdr:rowOff>78840</xdr:rowOff>
    </xdr:from>
    <xdr:to>
      <xdr:col>13</xdr:col>
      <xdr:colOff>9000</xdr:colOff>
      <xdr:row>61</xdr:row>
      <xdr:rowOff>64800</xdr:rowOff>
    </xdr:to>
    <xdr:pic>
      <xdr:nvPicPr>
        <xdr:cNvPr id="3" name="Imagem 2" descr=""/>
        <xdr:cNvPicPr/>
      </xdr:nvPicPr>
      <xdr:blipFill>
        <a:blip r:embed="rId2"/>
        <a:srcRect l="24894" t="41857" r="24900" b="29680"/>
        <a:stretch/>
      </xdr:blipFill>
      <xdr:spPr>
        <a:xfrm>
          <a:off x="9338760" y="9858600"/>
          <a:ext cx="6924960" cy="208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555480</xdr:colOff>
      <xdr:row>48</xdr:row>
      <xdr:rowOff>131040</xdr:rowOff>
    </xdr:from>
    <xdr:to>
      <xdr:col>7</xdr:col>
      <xdr:colOff>820440</xdr:colOff>
      <xdr:row>72</xdr:row>
      <xdr:rowOff>21960</xdr:rowOff>
    </xdr:to>
    <xdr:pic>
      <xdr:nvPicPr>
        <xdr:cNvPr id="4" name="Imagem 3" descr=""/>
        <xdr:cNvPicPr/>
      </xdr:nvPicPr>
      <xdr:blipFill>
        <a:blip r:embed="rId3"/>
        <a:srcRect l="23115" t="27347" r="23228" b="11631"/>
        <a:stretch/>
      </xdr:blipFill>
      <xdr:spPr>
        <a:xfrm>
          <a:off x="1167120" y="9529560"/>
          <a:ext cx="7360200" cy="4462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162000</xdr:colOff>
      <xdr:row>2</xdr:row>
      <xdr:rowOff>128520</xdr:rowOff>
    </xdr:from>
    <xdr:to>
      <xdr:col>15</xdr:col>
      <xdr:colOff>466560</xdr:colOff>
      <xdr:row>17</xdr:row>
      <xdr:rowOff>14040</xdr:rowOff>
    </xdr:to>
    <xdr:graphicFrame>
      <xdr:nvGraphicFramePr>
        <xdr:cNvPr id="5" name="Gráfico 2"/>
        <xdr:cNvGraphicFramePr/>
      </xdr:nvGraphicFramePr>
      <xdr:xfrm>
        <a:off x="5288400" y="509400"/>
        <a:ext cx="4584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0.116589463766978</cdr:x>
      <cdr:y>0.598871539168088</cdr:y>
    </cdr:from>
    <cdr:to>
      <cdr:x>0.995681871712334</cdr:x>
      <cdr:y>0.605694790709881</cdr:y>
    </cdr:to>
    <cdr:cxnSp>
      <cdr:nvCxnSpPr>
        <cdr:cNvPr id="6" name="Conector reto 2"/>
        <cdr:cNvCxnSpPr/>
      </cdr:nvCxnSpPr>
      <cdr:spPr>
        <a:xfrm flipV="1">
          <a:off x="534600" y="1643040"/>
          <a:ext cx="4031280" cy="19080"/>
        </a:xfrm>
        <a:prstGeom prst="straightConnector1">
          <a:avLst/>
        </a:prstGeom>
        <a:ln w="19050">
          <a:solidFill>
            <a:srgbClr val="ed7d31"/>
          </a:solidFill>
          <a:miter/>
        </a:ln>
      </cdr:spPr>
    </cdr:cxnSp>
  </cdr:relSizeAnchor>
</c:userShape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0" width="21.14"/>
    <col collapsed="false" customWidth="true" hidden="false" outlineLevel="0" max="8" min="4" style="0" width="17.71"/>
    <col collapsed="false" customWidth="true" hidden="false" outlineLevel="0" max="9" min="9" style="0" width="24.71"/>
    <col collapsed="false" customWidth="true" hidden="false" outlineLevel="0" max="10" min="10" style="0" width="16.85"/>
    <col collapsed="false" customWidth="true" hidden="false" outlineLevel="0" max="11" min="11" style="0" width="19.71"/>
    <col collapsed="false" customWidth="true" hidden="false" outlineLevel="0" max="12" min="12" style="0" width="18.42"/>
    <col collapsed="false" customWidth="true" hidden="false" outlineLevel="0" max="13" min="13" style="0" width="19.42"/>
    <col collapsed="false" customWidth="true" hidden="false" outlineLevel="0" max="14" min="14" style="0" width="16.14"/>
    <col collapsed="false" customWidth="true" hidden="false" outlineLevel="0" max="15" min="15" style="0" width="13"/>
  </cols>
  <sheetData>
    <row r="1" customFormat="false" ht="35.05" hidden="false" customHeight="false" outlineLevel="0" collapsed="false">
      <c r="B1" s="0" t="s">
        <v>0</v>
      </c>
      <c r="C1" s="0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0" t="s">
        <v>6</v>
      </c>
      <c r="I1" s="0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customFormat="false" ht="15" hidden="false" customHeight="false" outlineLevel="0" collapsed="false">
      <c r="A2" s="0" t="n">
        <f aca="false">2024-B2</f>
        <v>42</v>
      </c>
      <c r="B2" s="0" t="n">
        <v>1982</v>
      </c>
      <c r="C2" s="0" t="n">
        <v>2159413</v>
      </c>
      <c r="D2" s="1" t="n">
        <v>69338</v>
      </c>
      <c r="E2" s="3" t="n">
        <f aca="false">15917*A2^(-0.133)</f>
        <v>9682.08878142819</v>
      </c>
      <c r="F2" s="0" t="n">
        <f aca="false">D2*E2</f>
        <v>671336671.926668</v>
      </c>
      <c r="G2" s="0" t="n">
        <v>0.0903342366757001</v>
      </c>
      <c r="H2" s="4" t="n">
        <v>196.66982836495</v>
      </c>
      <c r="I2" s="4" t="n">
        <f aca="false">0.000001*H2*F2*(1-$L$2)*(1-$O$2)</f>
        <v>68326.3882122083</v>
      </c>
      <c r="J2" s="1" t="n">
        <f aca="false">G2*F2*(1-$L$2)*(1-$O$2)</f>
        <v>31383624.907141</v>
      </c>
      <c r="K2" s="1" t="n">
        <f aca="false">18*$M$2*(1-$L$2)*$N$2*J2*0.000001</f>
        <v>13155.2309704508</v>
      </c>
      <c r="L2" s="0" t="n">
        <v>0.31</v>
      </c>
      <c r="M2" s="0" t="n">
        <v>45</v>
      </c>
      <c r="N2" s="0" t="n">
        <v>0.75</v>
      </c>
      <c r="O2" s="0" t="n">
        <v>0.25</v>
      </c>
    </row>
    <row r="3" customFormat="false" ht="15" hidden="false" customHeight="false" outlineLevel="0" collapsed="false">
      <c r="A3" s="0" t="n">
        <f aca="false">2024-B3</f>
        <v>41</v>
      </c>
      <c r="B3" s="0" t="n">
        <v>1983</v>
      </c>
      <c r="C3" s="0" t="n">
        <v>2159413</v>
      </c>
      <c r="D3" s="1" t="n">
        <v>10498</v>
      </c>
      <c r="E3" s="3" t="n">
        <f aca="false">15917*A3^(-0.133)</f>
        <v>9713.16940742411</v>
      </c>
      <c r="F3" s="0" t="n">
        <f aca="false">D3*E3</f>
        <v>101968852.439138</v>
      </c>
      <c r="G3" s="0" t="n">
        <v>0.0903342366757001</v>
      </c>
      <c r="H3" s="4" t="n">
        <v>196.66982836495</v>
      </c>
      <c r="I3" s="4" t="n">
        <f aca="false">0.000001*H3*F3*(1-$L$2)*(1-O3)</f>
        <v>13837.3957283656</v>
      </c>
      <c r="J3" s="1" t="n">
        <f aca="false">G3*F3*(1-$L$2)*(1-$O$2)</f>
        <v>4766836.59776459</v>
      </c>
      <c r="K3" s="1" t="n">
        <f aca="false">18*$M$2*(1-$L$2)*$N$2*J3*0.000001</f>
        <v>1998.13873086797</v>
      </c>
    </row>
    <row r="4" customFormat="false" ht="15" hidden="false" customHeight="false" outlineLevel="0" collapsed="false">
      <c r="A4" s="0" t="n">
        <f aca="false">2024-B4</f>
        <v>40</v>
      </c>
      <c r="B4" s="0" t="n">
        <v>1984</v>
      </c>
      <c r="C4" s="0" t="n">
        <v>2159413</v>
      </c>
      <c r="D4" s="1" t="n">
        <v>8707</v>
      </c>
      <c r="E4" s="3" t="n">
        <f aca="false">15917*A4^(-0.133)</f>
        <v>9745.12103453881</v>
      </c>
      <c r="F4" s="0" t="n">
        <f aca="false">D4*E4</f>
        <v>84850768.8477294</v>
      </c>
      <c r="G4" s="0" t="n">
        <v>0.0903342366757001</v>
      </c>
      <c r="H4" s="4" t="n">
        <v>196.66982836495</v>
      </c>
      <c r="I4" s="4" t="n">
        <f aca="false">0.000001*H4*F4*(1-$L$2)*(1-O4)</f>
        <v>11514.4344406827</v>
      </c>
      <c r="J4" s="1" t="n">
        <f aca="false">G4*F4*(1-$L$2)*(1-$O$2)</f>
        <v>3966600.98271906</v>
      </c>
      <c r="K4" s="1" t="n">
        <f aca="false">18*$M$2*(1-$L$2)*$N$2*J4*0.000001</f>
        <v>1662.69996693126</v>
      </c>
    </row>
    <row r="5" customFormat="false" ht="15" hidden="false" customHeight="false" outlineLevel="0" collapsed="false">
      <c r="A5" s="0" t="n">
        <f aca="false">2024-B5</f>
        <v>39</v>
      </c>
      <c r="B5" s="0" t="n">
        <v>1985</v>
      </c>
      <c r="C5" s="0" t="n">
        <v>2159413</v>
      </c>
      <c r="D5" s="1" t="n">
        <v>8113</v>
      </c>
      <c r="E5" s="3" t="n">
        <f aca="false">15917*A5^(-0.133)</f>
        <v>9777.99078283151</v>
      </c>
      <c r="F5" s="0" t="n">
        <f aca="false">D5*E5</f>
        <v>79328839.2211121</v>
      </c>
      <c r="G5" s="0" t="n">
        <v>0.0903342366757001</v>
      </c>
      <c r="H5" s="4" t="n">
        <v>196.66982836495</v>
      </c>
      <c r="I5" s="4" t="n">
        <f aca="false">0.000001*H5*F5*(1-$L$2)*(1-O5)</f>
        <v>10765.0965438647</v>
      </c>
      <c r="J5" s="1" t="n">
        <f aca="false">G5*F5*(1-$L$2)*(1-$O$2)</f>
        <v>3708461.9961089</v>
      </c>
      <c r="K5" s="1" t="n">
        <f aca="false">18*$M$2*(1-$L$2)*$N$2*J5*0.000001</f>
        <v>1554.49455721895</v>
      </c>
    </row>
    <row r="6" customFormat="false" ht="15" hidden="false" customHeight="false" outlineLevel="0" collapsed="false">
      <c r="A6" s="0" t="n">
        <f aca="false">2024-B6</f>
        <v>38</v>
      </c>
      <c r="B6" s="0" t="n">
        <v>1986</v>
      </c>
      <c r="C6" s="0" t="n">
        <v>2159413</v>
      </c>
      <c r="D6" s="1" t="n">
        <v>12968</v>
      </c>
      <c r="E6" s="3" t="n">
        <f aca="false">15917*A6^(-0.133)</f>
        <v>9811.82961421417</v>
      </c>
      <c r="F6" s="0" t="n">
        <f aca="false">D6*E6</f>
        <v>127239806.437129</v>
      </c>
      <c r="G6" s="0" t="n">
        <v>0.0903342366757001</v>
      </c>
      <c r="H6" s="4" t="n">
        <v>196.66982836495</v>
      </c>
      <c r="I6" s="4" t="n">
        <f aca="false">0.000001*H6*F6*(1-$L$2)*(1-O6)</f>
        <v>17266.719316294</v>
      </c>
      <c r="J6" s="1" t="n">
        <f aca="false">G6*F6*(1-$L$2)*(1-$O$2)</f>
        <v>5948202.33344304</v>
      </c>
      <c r="K6" s="1" t="n">
        <f aca="false">18*$M$2*(1-$L$2)*$N$2*J6*0.000001</f>
        <v>2493.33771312099</v>
      </c>
    </row>
    <row r="7" customFormat="false" ht="15" hidden="false" customHeight="false" outlineLevel="0" collapsed="false">
      <c r="A7" s="0" t="n">
        <f aca="false">2024-B7</f>
        <v>37</v>
      </c>
      <c r="B7" s="0" t="n">
        <v>1987</v>
      </c>
      <c r="C7" s="0" t="n">
        <v>2159413</v>
      </c>
      <c r="D7" s="1" t="n">
        <v>7911</v>
      </c>
      <c r="E7" s="3" t="n">
        <f aca="false">15917*A7^(-0.133)</f>
        <v>9846.69275673361</v>
      </c>
      <c r="F7" s="0" t="n">
        <f aca="false">D7*E7</f>
        <v>77897186.3985196</v>
      </c>
      <c r="G7" s="0" t="n">
        <v>0.0903342366757001</v>
      </c>
      <c r="H7" s="4" t="n">
        <v>196.66982836495</v>
      </c>
      <c r="I7" s="4" t="n">
        <f aca="false">0.000001*H7*F7*(1-$L$2)*(1-O7)</f>
        <v>10570.8181325855</v>
      </c>
      <c r="J7" s="1" t="n">
        <f aca="false">G7*F7*(1-$L$2)*(1-$O$2)</f>
        <v>3641535.13651616</v>
      </c>
      <c r="K7" s="1" t="n">
        <f aca="false">18*$M$2*(1-$L$2)*$N$2*J7*0.000001</f>
        <v>1526.44049084916</v>
      </c>
    </row>
    <row r="8" customFormat="false" ht="15" hidden="false" customHeight="false" outlineLevel="0" collapsed="false">
      <c r="A8" s="0" t="n">
        <f aca="false">2024-B8</f>
        <v>36</v>
      </c>
      <c r="B8" s="0" t="n">
        <v>1988</v>
      </c>
      <c r="C8" s="0" t="n">
        <v>2159413</v>
      </c>
      <c r="D8" s="1" t="n">
        <v>9191</v>
      </c>
      <c r="E8" s="3" t="n">
        <f aca="false">15917*A8^(-0.133)</f>
        <v>9882.64018864812</v>
      </c>
      <c r="F8" s="0" t="n">
        <f aca="false">D8*E8</f>
        <v>90831345.9738648</v>
      </c>
      <c r="G8" s="0" t="n">
        <v>0.0903342366757001</v>
      </c>
      <c r="H8" s="4" t="n">
        <v>196.66982836495</v>
      </c>
      <c r="I8" s="4" t="n">
        <f aca="false">0.000001*H8*F8*(1-$L$2)*(1-O8)</f>
        <v>12326.0118037578</v>
      </c>
      <c r="J8" s="1" t="n">
        <f aca="false">G8*F8*(1-$L$2)*(1-$O$2)</f>
        <v>4246180.80772132</v>
      </c>
      <c r="K8" s="1" t="n">
        <f aca="false">18*$M$2*(1-$L$2)*$N$2*J8*0.000001</f>
        <v>1779.89284007659</v>
      </c>
    </row>
    <row r="9" customFormat="false" ht="15" hidden="false" customHeight="false" outlineLevel="0" collapsed="false">
      <c r="A9" s="0" t="n">
        <f aca="false">2024-B9</f>
        <v>35</v>
      </c>
      <c r="B9" s="0" t="n">
        <v>1989</v>
      </c>
      <c r="C9" s="0" t="n">
        <v>2159413</v>
      </c>
      <c r="D9" s="5" t="n">
        <v>11914</v>
      </c>
      <c r="E9" s="3" t="n">
        <f aca="false">15917*A9^(-0.133)</f>
        <v>9919.73719265191</v>
      </c>
      <c r="F9" s="0" t="n">
        <f aca="false">D9*E9</f>
        <v>118183748.913255</v>
      </c>
      <c r="G9" s="0" t="n">
        <v>0.0903342366757001</v>
      </c>
      <c r="H9" s="4" t="n">
        <v>196.66982836495</v>
      </c>
      <c r="I9" s="4" t="n">
        <f aca="false">0.000001*H9*F9*(1-$L$2)*(1-O9)</f>
        <v>16037.7925538644</v>
      </c>
      <c r="J9" s="1" t="n">
        <f aca="false">G9*F9*(1-$L$2)*(1-$O$2)</f>
        <v>5524850.05082289</v>
      </c>
      <c r="K9" s="1" t="n">
        <f aca="false">18*$M$2*(1-$L$2)*$N$2*J9*0.000001</f>
        <v>2315.87902005368</v>
      </c>
    </row>
    <row r="10" customFormat="false" ht="15" hidden="false" customHeight="false" outlineLevel="0" collapsed="false">
      <c r="A10" s="0" t="n">
        <f aca="false">2024-B10</f>
        <v>34</v>
      </c>
      <c r="B10" s="0" t="n">
        <v>1990</v>
      </c>
      <c r="C10" s="0" t="n">
        <v>2159413</v>
      </c>
      <c r="D10" s="5" t="n">
        <v>11719</v>
      </c>
      <c r="E10" s="3" t="n">
        <f aca="false">15917*A10^(-0.133)</f>
        <v>9958.05499274656</v>
      </c>
      <c r="F10" s="0" t="n">
        <f aca="false">D10*E10</f>
        <v>116698446.459997</v>
      </c>
      <c r="G10" s="0" t="n">
        <v>0.0846023688663283</v>
      </c>
      <c r="H10" s="4" t="n">
        <v>184.857021996616</v>
      </c>
      <c r="I10" s="4" t="n">
        <f aca="false">0.000001*H10*F10*(1-$L$2)*(1-O10)</f>
        <v>14885.0438261163</v>
      </c>
      <c r="J10" s="1" t="n">
        <f aca="false">G10*F10*(1-$L$2)*(1-$O$2)</f>
        <v>5109259.39450494</v>
      </c>
      <c r="K10" s="1" t="n">
        <f aca="false">18*$M$2*(1-$L$2)*$N$2*J10*0.000001</f>
        <v>2141.67380669161</v>
      </c>
    </row>
    <row r="11" customFormat="false" ht="15" hidden="false" customHeight="false" outlineLevel="0" collapsed="false">
      <c r="A11" s="0" t="n">
        <f aca="false">2024-B11</f>
        <v>33</v>
      </c>
      <c r="B11" s="0" t="n">
        <v>1991</v>
      </c>
      <c r="C11" s="0" t="n">
        <v>2159413</v>
      </c>
      <c r="D11" s="5" t="n">
        <v>11560</v>
      </c>
      <c r="E11" s="3" t="n">
        <f aca="false">15917*A11^(-0.133)</f>
        <v>9997.67148892658</v>
      </c>
      <c r="F11" s="0" t="n">
        <f aca="false">D11*E11</f>
        <v>115573082.411991</v>
      </c>
      <c r="G11" s="0" t="n">
        <v>0.0846023688663283</v>
      </c>
      <c r="H11" s="4" t="n">
        <v>184.857021996616</v>
      </c>
      <c r="I11" s="4" t="n">
        <f aca="false">0.000001*H11*F11*(1-$L$2)*(1-O11)</f>
        <v>14741.5021279786</v>
      </c>
      <c r="J11" s="1" t="n">
        <f aca="false">G11*F11*(1-$L$2)*(1-$O$2)</f>
        <v>5059989.01423058</v>
      </c>
      <c r="K11" s="1" t="n">
        <f aca="false">18*$M$2*(1-$L$2)*$N$2*J11*0.000001</f>
        <v>2121.0208950401</v>
      </c>
    </row>
    <row r="12" customFormat="false" ht="15" hidden="false" customHeight="false" outlineLevel="0" collapsed="false">
      <c r="A12" s="0" t="n">
        <f aca="false">2024-B12</f>
        <v>32</v>
      </c>
      <c r="B12" s="0" t="n">
        <v>1992</v>
      </c>
      <c r="C12" s="0" t="n">
        <v>2159413</v>
      </c>
      <c r="D12" s="5" t="n">
        <v>10376</v>
      </c>
      <c r="E12" s="3" t="n">
        <f aca="false">15917*A12^(-0.133)</f>
        <v>10038.6721081835</v>
      </c>
      <c r="F12" s="0" t="n">
        <f aca="false">D12*E12</f>
        <v>104161261.794512</v>
      </c>
      <c r="G12" s="0" t="n">
        <v>0.0910746812386157</v>
      </c>
      <c r="H12" s="4" t="n">
        <v>198.195810564663</v>
      </c>
      <c r="I12" s="4" t="n">
        <f aca="false">0.000001*H12*F12*(1-$L$2)*(1-O12)</f>
        <v>14244.5847404529</v>
      </c>
      <c r="J12" s="1" t="n">
        <f aca="false">G12*F12*(1-$L$2)*(1-$O$2)</f>
        <v>4909239.79769216</v>
      </c>
      <c r="K12" s="1" t="n">
        <f aca="false">18*$M$2*(1-$L$2)*$N$2*J12*0.000001</f>
        <v>2057.83059219761</v>
      </c>
    </row>
    <row r="13" customFormat="false" ht="15" hidden="false" customHeight="false" outlineLevel="0" collapsed="false">
      <c r="A13" s="0" t="n">
        <f aca="false">2024-B13</f>
        <v>31</v>
      </c>
      <c r="B13" s="0" t="n">
        <v>1993</v>
      </c>
      <c r="C13" s="0" t="n">
        <v>2159413</v>
      </c>
      <c r="D13" s="5" t="n">
        <v>15694</v>
      </c>
      <c r="E13" s="3" t="n">
        <f aca="false">15917*A13^(-0.133)</f>
        <v>10081.1507945342</v>
      </c>
      <c r="F13" s="0" t="n">
        <f aca="false">D13*E13</f>
        <v>158213580.56942</v>
      </c>
      <c r="G13" s="0" t="n">
        <v>0.0910746812386157</v>
      </c>
      <c r="H13" s="4" t="n">
        <v>198.195810564663</v>
      </c>
      <c r="I13" s="4" t="n">
        <f aca="false">0.000001*H13*F13*(1-$L$2)*(1-O13)</f>
        <v>21636.5155018727</v>
      </c>
      <c r="J13" s="1" t="n">
        <f aca="false">G13*F13*(1-$L$2)*(1-$O$2)</f>
        <v>7456787.60880463</v>
      </c>
      <c r="K13" s="1" t="n">
        <f aca="false">18*$M$2*(1-$L$2)*$N$2*J13*0.000001</f>
        <v>3125.69894592068</v>
      </c>
    </row>
    <row r="14" customFormat="false" ht="15" hidden="false" customHeight="false" outlineLevel="0" collapsed="false">
      <c r="A14" s="0" t="n">
        <f aca="false">2024-B14</f>
        <v>30</v>
      </c>
      <c r="B14" s="0" t="n">
        <v>1994</v>
      </c>
      <c r="C14" s="0" t="n">
        <v>2159413</v>
      </c>
      <c r="D14" s="5" t="n">
        <v>20900</v>
      </c>
      <c r="E14" s="3" t="n">
        <f aca="false">15917*A14^(-0.133)</f>
        <v>10125.2111661042</v>
      </c>
      <c r="F14" s="0" t="n">
        <f aca="false">D14*E14</f>
        <v>211616913.371579</v>
      </c>
      <c r="G14" s="0" t="n">
        <v>0.099601593625498</v>
      </c>
      <c r="H14" s="4" t="n">
        <v>215.768924302789</v>
      </c>
      <c r="I14" s="4" t="n">
        <f aca="false">0.000001*H14*F14*(1-$L$2)*(1-O14)</f>
        <v>31505.6440960987</v>
      </c>
      <c r="J14" s="1" t="n">
        <f aca="false">G14*F14*(1-$L$2)*(1-$O$2)</f>
        <v>10907545.0866327</v>
      </c>
      <c r="K14" s="1" t="n">
        <f aca="false">18*$M$2*(1-$L$2)*$N$2*J14*0.000001</f>
        <v>4572.17021168924</v>
      </c>
    </row>
    <row r="15" customFormat="false" ht="15" hidden="false" customHeight="false" outlineLevel="0" collapsed="false">
      <c r="A15" s="0" t="n">
        <f aca="false">2024-B15</f>
        <v>29</v>
      </c>
      <c r="B15" s="0" t="n">
        <v>1995</v>
      </c>
      <c r="C15" s="0" t="n">
        <v>2159413</v>
      </c>
      <c r="D15" s="5" t="n">
        <v>28781</v>
      </c>
      <c r="E15" s="3" t="n">
        <f aca="false">15917*A15^(-0.133)</f>
        <v>10170.9678740935</v>
      </c>
      <c r="F15" s="0" t="n">
        <f aca="false">D15*E15</f>
        <v>292730626.384284</v>
      </c>
      <c r="G15" s="0" t="n">
        <v>0.0961538461538462</v>
      </c>
      <c r="H15" s="4" t="n">
        <v>208.663461538462</v>
      </c>
      <c r="I15" s="4" t="n">
        <f aca="false">0.000001*H15*F15*(1-$L$2)*(1-O15)</f>
        <v>42146.70820177</v>
      </c>
      <c r="J15" s="1" t="n">
        <f aca="false">G15*F15*(1-$L$2)*(1-$O$2)</f>
        <v>14566163.3801795</v>
      </c>
      <c r="K15" s="1" t="n">
        <f aca="false">18*$M$2*(1-$L$2)*$N$2*J15*0.000001</f>
        <v>6105.77153488674</v>
      </c>
    </row>
    <row r="16" customFormat="false" ht="15" hidden="false" customHeight="false" outlineLevel="0" collapsed="false">
      <c r="A16" s="0" t="n">
        <f aca="false">2024-B16</f>
        <v>28</v>
      </c>
      <c r="B16" s="0" t="n">
        <v>1996</v>
      </c>
      <c r="C16" s="0" t="n">
        <v>2159413</v>
      </c>
      <c r="D16" s="5" t="n">
        <v>26136</v>
      </c>
      <c r="E16" s="3" t="n">
        <f aca="false">15917*A16^(-0.133)</f>
        <v>10218.548207195</v>
      </c>
      <c r="F16" s="0" t="n">
        <f aca="false">D16*E16</f>
        <v>267071975.94325</v>
      </c>
      <c r="G16" s="0" t="n">
        <v>0.0905797101449276</v>
      </c>
      <c r="H16" s="4" t="n">
        <v>197.175724637681</v>
      </c>
      <c r="I16" s="4" t="n">
        <f aca="false">0.000001*H16*F16*(1-$L$2)*(1-O16)</f>
        <v>36335.476167049</v>
      </c>
      <c r="J16" s="1" t="n">
        <f aca="false">G16*F16*(1-$L$2)*(1-$O$2)</f>
        <v>12518998.8723398</v>
      </c>
      <c r="K16" s="1" t="n">
        <f aca="false">18*$M$2*(1-$L$2)*$N$2*J16*0.000001</f>
        <v>5247.65135231304</v>
      </c>
    </row>
    <row r="17" customFormat="false" ht="15" hidden="false" customHeight="false" outlineLevel="0" collapsed="false">
      <c r="A17" s="0" t="n">
        <f aca="false">2024-B17</f>
        <v>27</v>
      </c>
      <c r="B17" s="0" t="n">
        <v>1997</v>
      </c>
      <c r="C17" s="0" t="n">
        <v>2159413</v>
      </c>
      <c r="D17" s="5" t="n">
        <v>31555</v>
      </c>
      <c r="E17" s="3" t="n">
        <f aca="false">15917*A17^(-0.133)</f>
        <v>10268.0939963745</v>
      </c>
      <c r="F17" s="0" t="n">
        <f aca="false">D17*E17</f>
        <v>324009706.055596</v>
      </c>
      <c r="G17" s="0" t="n">
        <v>0.0905797101449276</v>
      </c>
      <c r="H17" s="4" t="n">
        <v>197.175724637681</v>
      </c>
      <c r="I17" s="4" t="n">
        <f aca="false">0.000001*H17*F17*(1-$L$2)*(1-O17)</f>
        <v>44081.9255209964</v>
      </c>
      <c r="J17" s="1" t="n">
        <f aca="false">G17*F17*(1-$L$2)*(1-$O$2)</f>
        <v>15187954.9713561</v>
      </c>
      <c r="K17" s="1" t="n">
        <f aca="false">18*$M$2*(1-$L$2)*$N$2*J17*0.000001</f>
        <v>6366.41102511818</v>
      </c>
    </row>
    <row r="18" customFormat="false" ht="15" hidden="false" customHeight="false" outlineLevel="0" collapsed="false">
      <c r="A18" s="0" t="n">
        <f aca="false">2024-B18</f>
        <v>26</v>
      </c>
      <c r="B18" s="0" t="n">
        <v>1998</v>
      </c>
      <c r="C18" s="0" t="n">
        <v>2159413</v>
      </c>
      <c r="D18" s="5" t="n">
        <v>27723</v>
      </c>
      <c r="E18" s="3" t="n">
        <f aca="false">15917*A18^(-0.133)</f>
        <v>10319.7638897434</v>
      </c>
      <c r="F18" s="0" t="n">
        <f aca="false">D18*E18</f>
        <v>286094814.315357</v>
      </c>
      <c r="G18" s="0" t="n">
        <v>0.0846023688663283</v>
      </c>
      <c r="H18" s="4" t="n">
        <v>184.857021996616</v>
      </c>
      <c r="I18" s="4" t="n">
        <f aca="false">0.000001*H18*F18*(1-$L$2)*(1-O18)</f>
        <v>36491.7784142781</v>
      </c>
      <c r="J18" s="1" t="n">
        <f aca="false">G18*F18*(1-$L$2)*(1-$O$2)</f>
        <v>12525724.7384262</v>
      </c>
      <c r="K18" s="1" t="n">
        <f aca="false">18*$M$2*(1-$L$2)*$N$2*J18*0.000001</f>
        <v>5250.47066722979</v>
      </c>
    </row>
    <row r="19" customFormat="false" ht="15" hidden="false" customHeight="false" outlineLevel="0" collapsed="false">
      <c r="A19" s="0" t="n">
        <f aca="false">2024-B19</f>
        <v>25</v>
      </c>
      <c r="B19" s="0" t="n">
        <v>1999</v>
      </c>
      <c r="C19" s="0" t="n">
        <v>2159413</v>
      </c>
      <c r="D19" s="5" t="n">
        <v>25948</v>
      </c>
      <c r="E19" s="3" t="n">
        <f aca="false">15917*A19^(-0.133)</f>
        <v>10373.7360868367</v>
      </c>
      <c r="F19" s="0" t="n">
        <f aca="false">D19*E19</f>
        <v>269177703.981239</v>
      </c>
      <c r="G19" s="0" t="n">
        <v>0.0846023688663283</v>
      </c>
      <c r="H19" s="4" t="n">
        <v>184.857021996616</v>
      </c>
      <c r="I19" s="4" t="n">
        <f aca="false">0.000001*H19*F19*(1-$L$2)*(1-O19)</f>
        <v>34333.9782346424</v>
      </c>
      <c r="J19" s="1" t="n">
        <f aca="false">G19*F19*(1-$L$2)*(1-$O$2)</f>
        <v>11785064.4509553</v>
      </c>
      <c r="K19" s="1" t="n">
        <f aca="false">18*$M$2*(1-$L$2)*$N$2*J19*0.000001</f>
        <v>4940.00439122918</v>
      </c>
    </row>
    <row r="20" customFormat="false" ht="15" hidden="false" customHeight="false" outlineLevel="0" collapsed="false">
      <c r="A20" s="0" t="n">
        <f aca="false">2024-B20</f>
        <v>24</v>
      </c>
      <c r="B20" s="0" t="n">
        <v>2000</v>
      </c>
      <c r="C20" s="0" t="n">
        <v>2159413</v>
      </c>
      <c r="D20" s="5" t="n">
        <v>30389</v>
      </c>
      <c r="E20" s="3" t="n">
        <f aca="false">15917*A20^(-0.133)</f>
        <v>10430.2116476944</v>
      </c>
      <c r="F20" s="0" t="n">
        <f aca="false">D20*E20</f>
        <v>316963701.761786</v>
      </c>
      <c r="G20" s="0" t="n">
        <v>0.0841042893187553</v>
      </c>
      <c r="H20" s="4" t="n">
        <v>183.830529857023</v>
      </c>
      <c r="I20" s="4" t="n">
        <f aca="false">0.000001*H20*F20*(1-$L$2)*(1-O20)</f>
        <v>40204.6476158156</v>
      </c>
      <c r="J20" s="1" t="n">
        <f aca="false">G20*F20*(1-$L$2)*(1-$O$2)</f>
        <v>13795518.5585975</v>
      </c>
      <c r="K20" s="1" t="n">
        <f aca="false">18*$M$2*(1-$L$2)*$N$2*J20*0.000001</f>
        <v>5782.73649180011</v>
      </c>
    </row>
    <row r="21" customFormat="false" ht="15" hidden="false" customHeight="false" outlineLevel="0" collapsed="false">
      <c r="A21" s="0" t="n">
        <f aca="false">2024-B21</f>
        <v>23</v>
      </c>
      <c r="B21" s="0" t="n">
        <v>2001</v>
      </c>
      <c r="C21" s="0" t="n">
        <v>2159413</v>
      </c>
      <c r="D21" s="5" t="n">
        <v>36981</v>
      </c>
      <c r="E21" s="3" t="n">
        <f aca="false">15917*A21^(-0.133)</f>
        <v>10489.418527313</v>
      </c>
      <c r="F21" s="0" t="n">
        <f aca="false">D21*E21</f>
        <v>387909186.558564</v>
      </c>
      <c r="G21" s="0" t="n">
        <v>0.0835421888053467</v>
      </c>
      <c r="H21" s="4" t="n">
        <v>182.672096908939</v>
      </c>
      <c r="I21" s="4" t="n">
        <f aca="false">0.000001*H21*F21*(1-$L$2)*(1-O21)</f>
        <v>48893.5273180366</v>
      </c>
      <c r="J21" s="1" t="n">
        <f aca="false">G21*F21*(1-$L$2)*(1-$O$2)</f>
        <v>16770509.9452011</v>
      </c>
      <c r="K21" s="1" t="n">
        <f aca="false">18*$M$2*(1-$L$2)*$N$2*J21*0.000001</f>
        <v>7029.77850627966</v>
      </c>
    </row>
    <row r="22" customFormat="false" ht="15" hidden="false" customHeight="false" outlineLevel="0" collapsed="false">
      <c r="A22" s="0" t="n">
        <f aca="false">2024-B22</f>
        <v>22</v>
      </c>
      <c r="B22" s="0" t="n">
        <v>2002</v>
      </c>
      <c r="C22" s="0" t="n">
        <v>2159413</v>
      </c>
      <c r="D22" s="5" t="n">
        <v>27739</v>
      </c>
      <c r="E22" s="3" t="n">
        <f aca="false">15917*A22^(-0.133)</f>
        <v>10551.6165339506</v>
      </c>
      <c r="F22" s="0" t="n">
        <f aca="false">D22*E22</f>
        <v>292691291.035257</v>
      </c>
      <c r="G22" s="0" t="n">
        <v>0.091743119266055</v>
      </c>
      <c r="H22" s="4" t="n">
        <v>199.573394495413</v>
      </c>
      <c r="I22" s="4" t="n">
        <f aca="false">0.000001*H22*F22*(1-$L$2)*(1-O22)</f>
        <v>40305.2421988942</v>
      </c>
      <c r="J22" s="1" t="n">
        <f aca="false">G22*F22*(1-$L$2)*(1-$O$2)</f>
        <v>13896123.2211693</v>
      </c>
      <c r="K22" s="1" t="n">
        <f aca="false">18*$M$2*(1-$L$2)*$N$2*J22*0.000001</f>
        <v>5824.90745123364</v>
      </c>
    </row>
    <row r="23" customFormat="false" ht="15" hidden="false" customHeight="false" outlineLevel="0" collapsed="false">
      <c r="A23" s="0" t="n">
        <f aca="false">2024-B23</f>
        <v>21</v>
      </c>
      <c r="B23" s="0" t="n">
        <v>2003</v>
      </c>
      <c r="C23" s="0" t="n">
        <v>2159413</v>
      </c>
      <c r="D23" s="5" t="n">
        <v>32498</v>
      </c>
      <c r="E23" s="3" t="n">
        <f aca="false">15917*A23^(-0.133)</f>
        <v>10617.1034758997</v>
      </c>
      <c r="F23" s="0" t="n">
        <f aca="false">D23*E23</f>
        <v>345034628.759789</v>
      </c>
      <c r="G23" s="0" t="n">
        <v>0.0970873786407767</v>
      </c>
      <c r="H23" s="4" t="n">
        <v>210.587378640777</v>
      </c>
      <c r="I23" s="4" t="n">
        <f aca="false">0.000001*H23*F23*(1-$L$2)*(1-O23)</f>
        <v>50135.3572274642</v>
      </c>
      <c r="J23" s="1" t="n">
        <f aca="false">G23*F23*(1-$L$2)*(1-$O$2)</f>
        <v>17335477.7071059</v>
      </c>
      <c r="K23" s="1" t="n">
        <f aca="false">18*$M$2*(1-$L$2)*$N$2*J23*0.000001</f>
        <v>7266.59886787613</v>
      </c>
    </row>
    <row r="24" customFormat="false" ht="15" hidden="false" customHeight="false" outlineLevel="0" collapsed="false">
      <c r="A24" s="0" t="n">
        <f aca="false">2024-B24</f>
        <v>20</v>
      </c>
      <c r="B24" s="0" t="n">
        <v>2004</v>
      </c>
      <c r="C24" s="0" t="n">
        <v>2159413</v>
      </c>
      <c r="D24" s="5" t="n">
        <v>32276</v>
      </c>
      <c r="E24" s="3" t="n">
        <f aca="false">15917*A24^(-0.133)</f>
        <v>10686.2228538255</v>
      </c>
      <c r="F24" s="0" t="n">
        <f aca="false">D24*E24</f>
        <v>344908528.830073</v>
      </c>
      <c r="G24" s="0" t="n">
        <v>0.0925925925925926</v>
      </c>
      <c r="H24" s="4" t="n">
        <v>201.324074074074</v>
      </c>
      <c r="I24" s="4" t="n">
        <f aca="false">0.000001*H24*F24*(1-$L$2)*(1-O24)</f>
        <v>47912.4892428062</v>
      </c>
      <c r="J24" s="1" t="n">
        <f aca="false">G24*F24*(1-$L$2)*(1-$O$2)</f>
        <v>16526867.006441</v>
      </c>
      <c r="K24" s="1" t="n">
        <f aca="false">18*$M$2*(1-$L$2)*$N$2*J24*0.000001</f>
        <v>6927.6494774249</v>
      </c>
    </row>
    <row r="25" customFormat="false" ht="15" hidden="false" customHeight="false" outlineLevel="0" collapsed="false">
      <c r="A25" s="0" t="n">
        <f aca="false">2024-B25</f>
        <v>19</v>
      </c>
      <c r="B25" s="0" t="n">
        <v>2005</v>
      </c>
      <c r="C25" s="0" t="n">
        <v>2159413</v>
      </c>
      <c r="D25" s="5" t="n">
        <v>37683</v>
      </c>
      <c r="E25" s="3" t="n">
        <f aca="false">15917*A25^(-0.133)</f>
        <v>10759.3735870126</v>
      </c>
      <c r="F25" s="0" t="n">
        <f aca="false">D25*E25</f>
        <v>405445474.879395</v>
      </c>
      <c r="G25" s="0" t="n">
        <v>0.0869565217391304</v>
      </c>
      <c r="H25" s="4" t="n">
        <v>189.708695652174</v>
      </c>
      <c r="I25" s="4" t="n">
        <f aca="false">0.000001*H25*F25*(1-$L$2)*(1-O25)</f>
        <v>53072.4072162379</v>
      </c>
      <c r="J25" s="1" t="n">
        <f aca="false">G25*F25*(1-$L$2)*(1-$O$2)</f>
        <v>18245046.3695728</v>
      </c>
      <c r="K25" s="1" t="n">
        <f aca="false">18*$M$2*(1-$L$2)*$N$2*J25*0.000001</f>
        <v>7647.86731196566</v>
      </c>
    </row>
    <row r="26" customFormat="false" ht="15" hidden="false" customHeight="false" outlineLevel="0" collapsed="false">
      <c r="A26" s="0" t="n">
        <f aca="false">2024-B26</f>
        <v>18</v>
      </c>
      <c r="B26" s="0" t="n">
        <v>2006</v>
      </c>
      <c r="C26" s="0" t="n">
        <v>2159413</v>
      </c>
      <c r="D26" s="5" t="n">
        <v>39803</v>
      </c>
      <c r="E26" s="3" t="n">
        <f aca="false">15917*A26^(-0.133)</f>
        <v>10837.0224511084</v>
      </c>
      <c r="F26" s="0" t="n">
        <f aca="false">D26*E26</f>
        <v>431346004.621469</v>
      </c>
      <c r="G26" s="0" t="n">
        <v>0.0854700854700855</v>
      </c>
      <c r="H26" s="4" t="n">
        <v>186.645299145299</v>
      </c>
      <c r="I26" s="4" t="n">
        <f aca="false">0.000001*H26*F26*(1-$L$2)*(1-O26)</f>
        <v>55551.0058067155</v>
      </c>
      <c r="J26" s="1" t="n">
        <f aca="false">G26*F26*(1-$L$2)*(1-$O$2)</f>
        <v>19078765.5890265</v>
      </c>
      <c r="K26" s="1" t="n">
        <f aca="false">18*$M$2*(1-$L$2)*$N$2*J26*0.000001</f>
        <v>7997.34156578019</v>
      </c>
    </row>
    <row r="27" customFormat="false" ht="15" hidden="false" customHeight="false" outlineLevel="0" collapsed="false">
      <c r="A27" s="0" t="n">
        <f aca="false">2024-B27</f>
        <v>17</v>
      </c>
      <c r="B27" s="0" t="n">
        <v>2007</v>
      </c>
      <c r="C27" s="0" t="n">
        <v>2159413</v>
      </c>
      <c r="D27" s="5" t="n">
        <v>55117</v>
      </c>
      <c r="E27" s="3" t="n">
        <f aca="false">15917*A27^(-0.133)</f>
        <v>10919.7201826417</v>
      </c>
      <c r="F27" s="0" t="n">
        <f aca="false">D27*E27</f>
        <v>601862217.306663</v>
      </c>
      <c r="G27" s="0" t="n">
        <v>0.0854700854700855</v>
      </c>
      <c r="H27" s="4" t="n">
        <v>186.645299145299</v>
      </c>
      <c r="I27" s="4" t="n">
        <f aca="false">0.000001*H27*F27*(1-$L$2)*(1-O27)</f>
        <v>77510.979979484</v>
      </c>
      <c r="J27" s="1" t="n">
        <f aca="false">G27*F27*(1-$L$2)*(1-$O$2)</f>
        <v>26620828.8424101</v>
      </c>
      <c r="K27" s="1" t="n">
        <f aca="false">18*$M$2*(1-$L$2)*$N$2*J27*0.000001</f>
        <v>11158.7859300172</v>
      </c>
    </row>
    <row r="28" customFormat="false" ht="15" hidden="false" customHeight="false" outlineLevel="0" collapsed="false">
      <c r="A28" s="0" t="n">
        <f aca="false">2024-B28</f>
        <v>16</v>
      </c>
      <c r="B28" s="0" t="n">
        <v>2008</v>
      </c>
      <c r="C28" s="0" t="n">
        <v>2159413</v>
      </c>
      <c r="D28" s="5" t="n">
        <v>87478</v>
      </c>
      <c r="E28" s="3" t="n">
        <f aca="false">15917*A28^(-0.133)</f>
        <v>11008.1226209838</v>
      </c>
      <c r="F28" s="0" t="n">
        <f aca="false">D28*E28</f>
        <v>962968550.638418</v>
      </c>
      <c r="G28" s="0" t="n">
        <v>0.087719298245614</v>
      </c>
      <c r="H28" s="4" t="n">
        <v>191.280701754386</v>
      </c>
      <c r="I28" s="4" t="n">
        <f aca="false">0.000001*H28*F28*(1-$L$2)*(1-O28)</f>
        <v>127096.137092129</v>
      </c>
      <c r="J28" s="1" t="n">
        <f aca="false">G28*F28*(1-$L$2)*(1-$O$2)</f>
        <v>43713703.9434545</v>
      </c>
      <c r="K28" s="1" t="n">
        <f aca="false">18*$M$2*(1-$L$2)*$N$2*J28*0.000001</f>
        <v>18323.6918504975</v>
      </c>
    </row>
    <row r="29" customFormat="false" ht="15" hidden="false" customHeight="false" outlineLevel="0" collapsed="false">
      <c r="A29" s="0" t="n">
        <f aca="false">2024-B29</f>
        <v>15</v>
      </c>
      <c r="B29" s="0" t="n">
        <v>2009</v>
      </c>
      <c r="C29" s="0" t="n">
        <v>2159413</v>
      </c>
      <c r="D29" s="5" t="n">
        <v>69122</v>
      </c>
      <c r="E29" s="3" t="n">
        <f aca="false">15917*A29^(-0.133)</f>
        <v>11103.0188932028</v>
      </c>
      <c r="F29" s="0" t="n">
        <f aca="false">D29*E29</f>
        <v>767462871.935964</v>
      </c>
      <c r="G29" s="0" t="n">
        <v>0.0869565217391304</v>
      </c>
      <c r="H29" s="4" t="n">
        <v>189.708695652174</v>
      </c>
      <c r="I29" s="4" t="n">
        <f aca="false">0.000001*H29*F29*(1-$L$2)*(1-O29)</f>
        <v>100460.122473546</v>
      </c>
      <c r="J29" s="1" t="n">
        <f aca="false">G29*F29*(1-$L$2)*(1-$O$2)</f>
        <v>34535829.2371184</v>
      </c>
      <c r="K29" s="1" t="n">
        <f aca="false">18*$M$2*(1-$L$2)*$N$2*J29*0.000001</f>
        <v>14476.5562204691</v>
      </c>
    </row>
    <row r="30" customFormat="false" ht="15" hidden="false" customHeight="false" outlineLevel="0" collapsed="false">
      <c r="A30" s="0" t="n">
        <f aca="false">2024-B30</f>
        <v>14</v>
      </c>
      <c r="B30" s="0" t="n">
        <v>2010</v>
      </c>
      <c r="C30" s="0" t="n">
        <v>2159413</v>
      </c>
      <c r="D30" s="5" t="n">
        <v>94582</v>
      </c>
      <c r="E30" s="3" t="n">
        <f aca="false">15917*A30^(-0.133)</f>
        <v>11205.3696406258</v>
      </c>
      <c r="F30" s="0" t="n">
        <f aca="false">D30*E30</f>
        <v>1059826271.34967</v>
      </c>
      <c r="G30" s="0" t="n">
        <v>0.0813008130081301</v>
      </c>
      <c r="H30" s="4" t="n">
        <v>178.052845528455</v>
      </c>
      <c r="I30" s="4" t="n">
        <f aca="false">0.000001*H30*F30*(1-$L$2)*(1-O30)</f>
        <v>130206.507531939</v>
      </c>
      <c r="J30" s="1" t="n">
        <f aca="false">G30*F30*(1-$L$2)*(1-$O$2)</f>
        <v>44590251.6604436</v>
      </c>
      <c r="K30" s="1" t="n">
        <f aca="false">18*$M$2*(1-$L$2)*$N$2*J30*0.000001</f>
        <v>18691.1187397664</v>
      </c>
    </row>
    <row r="31" customFormat="false" ht="15" hidden="false" customHeight="false" outlineLevel="0" collapsed="false">
      <c r="A31" s="0" t="n">
        <f aca="false">2024-B31</f>
        <v>13</v>
      </c>
      <c r="B31" s="0" t="n">
        <v>2011</v>
      </c>
      <c r="C31" s="0" t="n">
        <v>2159413</v>
      </c>
      <c r="D31" s="5" t="n">
        <v>104397</v>
      </c>
      <c r="E31" s="3" t="n">
        <f aca="false">15917*A31^(-0.133)</f>
        <v>11316.3598824279</v>
      </c>
      <c r="F31" s="0" t="n">
        <f aca="false">D31*E31</f>
        <v>1181394022.64583</v>
      </c>
      <c r="G31" s="0" t="n">
        <v>0.0819672131147541</v>
      </c>
      <c r="H31" s="4" t="n">
        <v>179.426229508197</v>
      </c>
      <c r="I31" s="4" t="n">
        <f aca="false">0.000001*H31*F31*(1-$L$2)*(1-O31)</f>
        <v>146261.421782335</v>
      </c>
      <c r="J31" s="1" t="n">
        <f aca="false">G31*F31*(1-$L$2)*(1-$O$2)</f>
        <v>50112410.3868211</v>
      </c>
      <c r="K31" s="1" t="n">
        <f aca="false">18*$M$2*(1-$L$2)*$N$2*J31*0.000001</f>
        <v>21005.8696238957</v>
      </c>
    </row>
    <row r="32" customFormat="false" ht="15" hidden="false" customHeight="false" outlineLevel="0" collapsed="false">
      <c r="A32" s="0" t="n">
        <f aca="false">2024-B32</f>
        <v>12</v>
      </c>
      <c r="B32" s="0" t="n">
        <v>2012</v>
      </c>
      <c r="C32" s="0" t="n">
        <v>2159413</v>
      </c>
      <c r="D32" s="5" t="n">
        <v>102398</v>
      </c>
      <c r="E32" s="3" t="n">
        <f aca="false">15917*A32^(-0.133)</f>
        <v>11437.4737558202</v>
      </c>
      <c r="F32" s="0" t="n">
        <f aca="false">D32*E32</f>
        <v>1171174437.64848</v>
      </c>
      <c r="G32" s="0" t="n">
        <v>0.0826446280991736</v>
      </c>
      <c r="H32" s="4" t="n">
        <v>180.822314049587</v>
      </c>
      <c r="I32" s="4" t="n">
        <f aca="false">0.000001*H32*F32*(1-$L$2)*(1-O32)</f>
        <v>146124.385660212</v>
      </c>
      <c r="J32" s="1" t="n">
        <f aca="false">G32*F32*(1-$L$2)*(1-$O$2)</f>
        <v>50089485.2465363</v>
      </c>
      <c r="K32" s="1" t="n">
        <f aca="false">18*$M$2*(1-$L$2)*$N$2*J32*0.000001</f>
        <v>20996.2599782168</v>
      </c>
    </row>
    <row r="33" customFormat="false" ht="15" hidden="false" customHeight="false" outlineLevel="0" collapsed="false">
      <c r="A33" s="0" t="n">
        <f aca="false">2024-B33</f>
        <v>11</v>
      </c>
      <c r="B33" s="0" t="n">
        <v>2013</v>
      </c>
      <c r="C33" s="0" t="n">
        <v>2159413</v>
      </c>
      <c r="D33" s="5" t="n">
        <v>115983</v>
      </c>
      <c r="E33" s="3" t="n">
        <f aca="false">15917*A33^(-0.133)</f>
        <v>11570.6029048045</v>
      </c>
      <c r="F33" s="0" t="n">
        <f aca="false">D33*E33</f>
        <v>1341993236.70795</v>
      </c>
      <c r="G33" s="0" t="n">
        <v>0.0806451612903226</v>
      </c>
      <c r="H33" s="4" t="n">
        <v>176.701612903226</v>
      </c>
      <c r="I33" s="4" t="n">
        <f aca="false">0.000001*H33*F33*(1-$L$2)*(1-O33)</f>
        <v>163621.334907745</v>
      </c>
      <c r="J33" s="1" t="n">
        <f aca="false">G33*F33*(1-$L$2)*(1-$O$2)</f>
        <v>56006572.5803517</v>
      </c>
      <c r="K33" s="1" t="n">
        <f aca="false">18*$M$2*(1-$L$2)*$N$2*J33*0.000001</f>
        <v>23476.5550613689</v>
      </c>
    </row>
    <row r="34" customFormat="false" ht="15" hidden="false" customHeight="false" outlineLevel="0" collapsed="false">
      <c r="A34" s="0" t="n">
        <f aca="false">2024-B34</f>
        <v>10</v>
      </c>
      <c r="B34" s="0" t="n">
        <v>2014</v>
      </c>
      <c r="C34" s="0" t="n">
        <v>2159413</v>
      </c>
      <c r="D34" s="5" t="n">
        <v>107808</v>
      </c>
      <c r="E34" s="3" t="n">
        <f aca="false">15917*A34^(-0.133)</f>
        <v>11718.2083708237</v>
      </c>
      <c r="F34" s="0" t="n">
        <f aca="false">D34*E34</f>
        <v>1263316608.04176</v>
      </c>
      <c r="G34" s="0" t="n">
        <v>0.078740157480315</v>
      </c>
      <c r="H34" s="4" t="n">
        <v>172.775590551181</v>
      </c>
      <c r="I34" s="4" t="n">
        <f aca="false">0.000001*H34*F34*(1-$L$2)*(1-O34)</f>
        <v>150606.488375196</v>
      </c>
      <c r="J34" s="1" t="n">
        <f aca="false">G34*F34*(1-$L$2)*(1-$O$2)</f>
        <v>51477664.9339852</v>
      </c>
      <c r="K34" s="1" t="n">
        <f aca="false">18*$M$2*(1-$L$2)*$N$2*J34*0.000001</f>
        <v>21578.1501987033</v>
      </c>
    </row>
    <row r="35" customFormat="false" ht="15" hidden="false" customHeight="false" outlineLevel="0" collapsed="false">
      <c r="A35" s="0" t="n">
        <f aca="false">2024-B35</f>
        <v>9</v>
      </c>
      <c r="B35" s="0" t="n">
        <v>2015</v>
      </c>
      <c r="C35" s="0" t="n">
        <v>2159413</v>
      </c>
      <c r="D35" s="5" t="n">
        <v>99995</v>
      </c>
      <c r="E35" s="3" t="n">
        <f aca="false">15917*A35^(-0.133)</f>
        <v>11883.5709247746</v>
      </c>
      <c r="F35" s="0" t="n">
        <f aca="false">D35*E35</f>
        <v>1188297674.62284</v>
      </c>
      <c r="G35" s="0" t="n">
        <v>0.0757575757575758</v>
      </c>
      <c r="H35" s="4" t="n">
        <v>166.628787878788</v>
      </c>
      <c r="I35" s="4" t="n">
        <f aca="false">0.000001*H35*F35*(1-$L$2)*(1-O35)</f>
        <v>136623.174801495</v>
      </c>
      <c r="J35" s="1" t="n">
        <f aca="false">G35*F35*(1-$L$2)*(1-$O$2)</f>
        <v>46586670.1982818</v>
      </c>
      <c r="K35" s="1" t="n">
        <f aca="false">18*$M$2*(1-$L$2)*$N$2*J35*0.000001</f>
        <v>19527.9674803648</v>
      </c>
    </row>
    <row r="36" customFormat="false" ht="15" hidden="false" customHeight="false" outlineLevel="0" collapsed="false">
      <c r="A36" s="0" t="n">
        <f aca="false">2024-B36</f>
        <v>8</v>
      </c>
      <c r="B36" s="0" t="n">
        <v>2016</v>
      </c>
      <c r="C36" s="0" t="n">
        <v>2159413</v>
      </c>
      <c r="D36" s="5" t="n">
        <v>67051</v>
      </c>
      <c r="E36" s="3" t="n">
        <f aca="false">15917*A36^(-0.133)</f>
        <v>12071.1945098625</v>
      </c>
      <c r="F36" s="0" t="n">
        <f aca="false">D36*E36</f>
        <v>809385663.08079</v>
      </c>
      <c r="G36" s="0" t="n">
        <v>0.072463768115942</v>
      </c>
      <c r="H36" s="4" t="n">
        <v>159.840579710145</v>
      </c>
      <c r="I36" s="4" t="n">
        <f aca="false">0.000001*H36*F36*(1-$L$2)*(1-O36)</f>
        <v>89267.1447811804</v>
      </c>
      <c r="J36" s="1" t="n">
        <f aca="false">G36*F36*(1-$L$2)*(1-$O$2)</f>
        <v>30351962.3655296</v>
      </c>
      <c r="K36" s="1" t="n">
        <f aca="false">18*$M$2*(1-$L$2)*$N$2*J36*0.000001</f>
        <v>12722.7838245709</v>
      </c>
    </row>
    <row r="37" customFormat="false" ht="15" hidden="false" customHeight="false" outlineLevel="0" collapsed="false">
      <c r="A37" s="0" t="n">
        <f aca="false">2024-B37</f>
        <v>7</v>
      </c>
      <c r="B37" s="0" t="n">
        <v>2017</v>
      </c>
      <c r="C37" s="0" t="n">
        <v>2159413</v>
      </c>
      <c r="D37" s="5" t="n">
        <v>62043</v>
      </c>
      <c r="E37" s="3" t="n">
        <f aca="false">15917*A37^(-0.133)</f>
        <v>12287.4899875356</v>
      </c>
      <c r="F37" s="0" t="n">
        <f aca="false">D37*E37</f>
        <v>762352741.296673</v>
      </c>
      <c r="G37" s="0" t="n">
        <v>0.0699300699300699</v>
      </c>
      <c r="H37" s="4" t="n">
        <v>154.618881118881</v>
      </c>
      <c r="I37" s="4" t="n">
        <f aca="false">0.000001*H37*F37*(1-$L$2)*(1-O37)</f>
        <v>81333.1482352704</v>
      </c>
      <c r="J37" s="1" t="n">
        <f aca="false">G37*F37*(1-$L$2)*(1-$O$2)</f>
        <v>27588639.4140579</v>
      </c>
      <c r="K37" s="1" t="n">
        <f aca="false">18*$M$2*(1-$L$2)*$N$2*J37*0.000001</f>
        <v>11564.4679263877</v>
      </c>
    </row>
    <row r="38" customFormat="false" ht="15" hidden="false" customHeight="false" outlineLevel="0" collapsed="false">
      <c r="A38" s="0" t="n">
        <f aca="false">2024-B38</f>
        <v>6</v>
      </c>
      <c r="B38" s="0" t="n">
        <v>2018</v>
      </c>
      <c r="C38" s="0" t="n">
        <v>2159413</v>
      </c>
      <c r="D38" s="5" t="n">
        <v>84341</v>
      </c>
      <c r="E38" s="3" t="n">
        <f aca="false">15917*A38^(-0.133)</f>
        <v>12542.0087658521</v>
      </c>
      <c r="F38" s="0" t="n">
        <f aca="false">D38*E38</f>
        <v>1057805561.32074</v>
      </c>
      <c r="G38" s="0" t="n">
        <v>0.0704225352112676</v>
      </c>
      <c r="H38" s="4" t="n">
        <v>155.633802816901</v>
      </c>
      <c r="I38" s="4" t="n">
        <f aca="false">0.000001*H38*F38*(1-$L$2)*(1-O38)</f>
        <v>113594.908482957</v>
      </c>
      <c r="J38" s="1" t="n">
        <f aca="false">G38*F38*(1-$L$2)*(1-$O$2)</f>
        <v>38550308.3086958</v>
      </c>
      <c r="K38" s="1" t="n">
        <f aca="false">18*$M$2*(1-$L$2)*$N$2*J38*0.000001</f>
        <v>16159.3254852976</v>
      </c>
    </row>
    <row r="39" customFormat="false" ht="15" hidden="false" customHeight="false" outlineLevel="0" collapsed="false">
      <c r="A39" s="0" t="n">
        <f aca="false">2024-B39</f>
        <v>5</v>
      </c>
      <c r="B39" s="0" t="n">
        <v>2019</v>
      </c>
      <c r="C39" s="0" t="n">
        <v>2159413</v>
      </c>
      <c r="D39" s="5" t="n">
        <v>86020</v>
      </c>
      <c r="E39" s="3" t="n">
        <f aca="false">15917*A39^(-0.133)</f>
        <v>12849.8543685981</v>
      </c>
      <c r="F39" s="0" t="n">
        <f aca="false">D39*E39</f>
        <v>1105344472.78681</v>
      </c>
      <c r="G39" s="0" t="n">
        <v>0.0704225352112676</v>
      </c>
      <c r="H39" s="4" t="n">
        <v>155.633802816901</v>
      </c>
      <c r="I39" s="4" t="n">
        <f aca="false">0.000001*H39*F39*(1-$L$2)*(1-O39)</f>
        <v>118699.984968493</v>
      </c>
      <c r="J39" s="1" t="n">
        <f aca="false">G39*F39*(1-$L$2)*(1-$O$2)</f>
        <v>40282800.3286742</v>
      </c>
      <c r="K39" s="1" t="n">
        <f aca="false">18*$M$2*(1-$L$2)*$N$2*J39*0.000001</f>
        <v>16885.542827772</v>
      </c>
    </row>
    <row r="40" customFormat="false" ht="15" hidden="false" customHeight="false" outlineLevel="0" collapsed="false">
      <c r="A40" s="0" t="n">
        <f aca="false">2024-B40</f>
        <v>4</v>
      </c>
      <c r="B40" s="0" t="n">
        <v>2020</v>
      </c>
      <c r="C40" s="0" t="n">
        <v>2159413</v>
      </c>
      <c r="D40" s="5" t="n">
        <v>82794</v>
      </c>
      <c r="E40" s="3" t="n">
        <f aca="false">15917*A40^(-0.133)</f>
        <v>13236.9289398334</v>
      </c>
      <c r="F40" s="0" t="n">
        <f aca="false">D40*E40</f>
        <v>1095938294.64457</v>
      </c>
      <c r="G40" s="0" t="n">
        <v>0.0698036015706305</v>
      </c>
      <c r="H40" s="4" t="n">
        <v>154.358242476912</v>
      </c>
      <c r="I40" s="4" t="n">
        <f aca="false">0.000001*H40*F40*(1-$L$2)*(1-O40)</f>
        <v>116725.305226891</v>
      </c>
      <c r="J40" s="1" t="n">
        <f aca="false">G40*F40*(1-$L$2)*(1-$O$2)</f>
        <v>39588977.7338266</v>
      </c>
      <c r="K40" s="1" t="n">
        <f aca="false">18*$M$2*(1-$L$2)*$N$2*J40*0.000001</f>
        <v>16594.7097415768</v>
      </c>
    </row>
    <row r="41" customFormat="false" ht="15" hidden="false" customHeight="false" outlineLevel="0" collapsed="false">
      <c r="A41" s="0" t="n">
        <f aca="false">2024-B41</f>
        <v>3</v>
      </c>
      <c r="B41" s="0" t="n">
        <v>2021</v>
      </c>
      <c r="C41" s="0" t="n">
        <v>2159413</v>
      </c>
      <c r="D41" s="0" t="n">
        <v>70630</v>
      </c>
      <c r="E41" s="3" t="n">
        <f aca="false">15917*A41^(-0.133)</f>
        <v>13753.2104764538</v>
      </c>
      <c r="F41" s="0" t="n">
        <f aca="false">D41*E41</f>
        <v>971389255.951931</v>
      </c>
      <c r="G41" s="0" t="n">
        <v>0.0692446991058609</v>
      </c>
      <c r="H41" s="4" t="n">
        <v>153.206400387269</v>
      </c>
      <c r="I41" s="4" t="n">
        <f aca="false">0.000001*H41*F41*(1-$L$2)*(1-O41)</f>
        <v>102687.905382691</v>
      </c>
      <c r="J41" s="1" t="n">
        <f aca="false">G41*F41*(1-$L$2)*(1-$O$2)</f>
        <v>34808890.6145323</v>
      </c>
      <c r="K41" s="1" t="n">
        <f aca="false">18*$M$2*(1-$L$2)*$N$2*J41*0.000001</f>
        <v>14591.0167233466</v>
      </c>
    </row>
    <row r="42" customFormat="false" ht="15" hidden="false" customHeight="false" outlineLevel="0" collapsed="false">
      <c r="A42" s="0" t="n">
        <f aca="false">2024-B42</f>
        <v>2</v>
      </c>
      <c r="B42" s="0" t="n">
        <v>2022</v>
      </c>
      <c r="C42" s="0" t="n">
        <v>2159413</v>
      </c>
      <c r="D42" s="0" t="n">
        <v>80437</v>
      </c>
      <c r="E42" s="3" t="n">
        <f aca="false">15917*A42^(-0.133)</f>
        <v>14515.2401955782</v>
      </c>
      <c r="F42" s="0" t="n">
        <f aca="false">D42*E42</f>
        <v>1167562375.61172</v>
      </c>
      <c r="G42" s="0" t="n">
        <v>0.0688481514963427</v>
      </c>
      <c r="H42" s="4" t="n">
        <v>152.389155418813</v>
      </c>
      <c r="I42" s="4" t="n">
        <f aca="false">0.000001*H42*F42*(1-$L$2)*(1-O42)</f>
        <v>122767.452579594</v>
      </c>
      <c r="J42" s="1" t="n">
        <f aca="false">G42*F42*(1-$L$2)*(1-$O$2)</f>
        <v>41598984.6068298</v>
      </c>
      <c r="K42" s="1" t="n">
        <f aca="false">18*$M$2*(1-$L$2)*$N$2*J42*0.000001</f>
        <v>17437.2543725679</v>
      </c>
    </row>
    <row r="43" customFormat="false" ht="15" hidden="false" customHeight="false" outlineLevel="0" collapsed="false">
      <c r="A43" s="0" t="n">
        <f aca="false">2024-B43</f>
        <v>1</v>
      </c>
      <c r="B43" s="0" t="n">
        <v>2023</v>
      </c>
      <c r="C43" s="0" t="n">
        <v>2159413</v>
      </c>
      <c r="D43" s="0" t="n">
        <v>116878</v>
      </c>
      <c r="E43" s="3" t="n">
        <f aca="false">15917*A43^(-0.133)</f>
        <v>15917</v>
      </c>
      <c r="F43" s="0" t="n">
        <f aca="false">D43*E43</f>
        <v>1860347126</v>
      </c>
      <c r="G43" s="0" t="n">
        <v>0.0685405652741673</v>
      </c>
      <c r="H43" s="4" t="n">
        <v>151.755250973531</v>
      </c>
      <c r="I43" s="4" t="n">
        <f aca="false">0.000001*H43*F43*(1-$L$2)*(1-O43)</f>
        <v>194799.037052772</v>
      </c>
      <c r="J43" s="1" t="n">
        <f aca="false">G43*F43*(1-$L$2)*(1-$O$2)</f>
        <v>65986033.574495</v>
      </c>
      <c r="K43" s="1" t="n">
        <f aca="false">18*$M$2*(1-$L$2)*$N$2*J43*0.000001</f>
        <v>27659.6956235889</v>
      </c>
    </row>
    <row r="44" customFormat="false" ht="15" hidden="false" customHeight="false" outlineLevel="0" collapsed="false">
      <c r="A44" s="0" t="n">
        <f aca="false">2024-B44</f>
        <v>0</v>
      </c>
      <c r="B44" s="0" t="n">
        <v>2024</v>
      </c>
      <c r="C44" s="0" t="n">
        <v>2159413</v>
      </c>
      <c r="D44" s="0" t="n">
        <v>103454</v>
      </c>
      <c r="E44" s="3" t="n">
        <v>16000</v>
      </c>
      <c r="F44" s="0" t="n">
        <f aca="false">D44*E44</f>
        <v>1655264000</v>
      </c>
      <c r="G44" s="0" t="n">
        <v>0.0682892490315732</v>
      </c>
      <c r="H44" s="4" t="n">
        <v>151.237313329169</v>
      </c>
      <c r="I44" s="4" t="n">
        <f aca="false">0.000001*H44*F44*(1-$L$2)*(1-O44)</f>
        <v>172732.999345241</v>
      </c>
      <c r="J44" s="1" t="n">
        <f aca="false">G44*F44*(1-$L$2)*(1-$O$2)</f>
        <v>58496510.6259064</v>
      </c>
      <c r="K44" s="1" t="n">
        <f aca="false">18*$M$2*(1-$L$2)*$N$2*J44*0.000001</f>
        <v>24520.2748416143</v>
      </c>
    </row>
    <row r="45" customFormat="false" ht="15" hidden="false" customHeight="false" outlineLevel="0" collapsed="false">
      <c r="I45" s="6" t="n">
        <f aca="false">SUM(I2:I44)</f>
        <v>3078240.92884802</v>
      </c>
      <c r="J45" s="6" t="n">
        <f aca="false">SUM(J2:J44)</f>
        <v>1059847853.12642</v>
      </c>
      <c r="K45" s="7" t="n">
        <f aca="false">18*$M$2*(1-$L$2)*$N$2*J45*0.000001</f>
        <v>444261.723834268</v>
      </c>
      <c r="L45" s="6" t="n">
        <f aca="false">I45+K45</f>
        <v>3522502.65268229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0" width="21.14"/>
    <col collapsed="false" customWidth="true" hidden="false" outlineLevel="0" max="8" min="4" style="0" width="17.71"/>
    <col collapsed="false" customWidth="true" hidden="false" outlineLevel="0" max="9" min="9" style="0" width="24.71"/>
    <col collapsed="false" customWidth="true" hidden="false" outlineLevel="0" max="10" min="10" style="0" width="21.29"/>
    <col collapsed="false" customWidth="true" hidden="false" outlineLevel="0" max="11" min="11" style="0" width="19.71"/>
    <col collapsed="false" customWidth="true" hidden="false" outlineLevel="0" max="12" min="12" style="0" width="18.42"/>
    <col collapsed="false" customWidth="true" hidden="false" outlineLevel="0" max="13" min="13" style="0" width="19.42"/>
    <col collapsed="false" customWidth="true" hidden="false" outlineLevel="0" max="14" min="14" style="0" width="16.14"/>
    <col collapsed="false" customWidth="true" hidden="false" outlineLevel="0" max="15" min="15" style="0" width="13"/>
  </cols>
  <sheetData>
    <row r="1" customFormat="false" ht="35.05" hidden="false" customHeight="false" outlineLevel="0" collapsed="false">
      <c r="B1" s="8" t="s">
        <v>0</v>
      </c>
      <c r="C1" s="0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0" t="s">
        <v>6</v>
      </c>
      <c r="I1" s="0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customFormat="false" ht="15" hidden="false" customHeight="false" outlineLevel="0" collapsed="false">
      <c r="A2" s="0" t="n">
        <f aca="false">2024-B2</f>
        <v>42</v>
      </c>
      <c r="B2" s="0" t="n">
        <v>1982</v>
      </c>
      <c r="C2" s="0" t="n">
        <v>2159413</v>
      </c>
      <c r="D2" s="1" t="n">
        <v>69338</v>
      </c>
      <c r="E2" s="3" t="n">
        <f aca="false">15917*A2^(-0.133)</f>
        <v>9682.08878142819</v>
      </c>
      <c r="F2" s="0" t="n">
        <f aca="false">D2*E2</f>
        <v>671336671.926668</v>
      </c>
      <c r="G2" s="0" t="n">
        <v>0.140845070422535</v>
      </c>
      <c r="H2" s="4" t="n">
        <v>0</v>
      </c>
      <c r="I2" s="4" t="n">
        <f aca="false">0.000001*H2*F2*($L$2)*($O$2)</f>
        <v>0</v>
      </c>
      <c r="J2" s="1" t="n">
        <f aca="false">G2*F2*($L$2)*($O$2)</f>
        <v>7327970.7146925</v>
      </c>
      <c r="K2" s="1" t="n">
        <f aca="false">(2.269+0.227)*J2/(80*85)</f>
        <v>2689.79630939301</v>
      </c>
      <c r="L2" s="0" t="n">
        <v>0.31</v>
      </c>
      <c r="M2" s="0" t="n">
        <v>45</v>
      </c>
      <c r="N2" s="0" t="n">
        <v>0.75</v>
      </c>
      <c r="O2" s="0" t="n">
        <v>0.25</v>
      </c>
    </row>
    <row r="3" customFormat="false" ht="15" hidden="false" customHeight="false" outlineLevel="0" collapsed="false">
      <c r="A3" s="0" t="n">
        <f aca="false">2024-B3</f>
        <v>41</v>
      </c>
      <c r="B3" s="0" t="n">
        <v>1983</v>
      </c>
      <c r="C3" s="0" t="n">
        <v>2159413</v>
      </c>
      <c r="D3" s="1" t="n">
        <v>10498</v>
      </c>
      <c r="E3" s="3" t="n">
        <f aca="false">15917*A3^(-0.133)</f>
        <v>9713.16940742411</v>
      </c>
      <c r="F3" s="0" t="n">
        <f aca="false">D3*E3</f>
        <v>101968852.439138</v>
      </c>
      <c r="G3" s="0" t="n">
        <v>0.126582278481013</v>
      </c>
      <c r="H3" s="4" t="n">
        <v>0</v>
      </c>
      <c r="I3" s="4" t="n">
        <f aca="false">0.000001*H3*F3*($L$2)*($O$2)</f>
        <v>0</v>
      </c>
      <c r="J3" s="1" t="n">
        <f aca="false">G3*F3*($L$2)*($O$2)</f>
        <v>1000327.34987762</v>
      </c>
      <c r="K3" s="1" t="n">
        <f aca="false">(2.269+0.227)*J3/(80*85)</f>
        <v>367.178980190374</v>
      </c>
    </row>
    <row r="4" customFormat="false" ht="15" hidden="false" customHeight="false" outlineLevel="0" collapsed="false">
      <c r="A4" s="0" t="n">
        <f aca="false">2024-B4</f>
        <v>40</v>
      </c>
      <c r="B4" s="0" t="n">
        <v>1984</v>
      </c>
      <c r="C4" s="0" t="n">
        <v>2159413</v>
      </c>
      <c r="D4" s="1" t="n">
        <v>8707</v>
      </c>
      <c r="E4" s="3" t="n">
        <f aca="false">15917*A4^(-0.133)</f>
        <v>9745.12103453881</v>
      </c>
      <c r="F4" s="0" t="n">
        <f aca="false">D4*E4</f>
        <v>84850768.8477294</v>
      </c>
      <c r="G4" s="0" t="n">
        <v>0.121212121212121</v>
      </c>
      <c r="H4" s="4" t="n">
        <v>0</v>
      </c>
      <c r="I4" s="4" t="n">
        <f aca="false">0.000001*H4*F4*($L$2)*($O$2)</f>
        <v>0</v>
      </c>
      <c r="J4" s="1" t="n">
        <f aca="false">G4*F4*($L$2)*($O$2)</f>
        <v>797082.980084731</v>
      </c>
      <c r="K4" s="1" t="n">
        <f aca="false">(2.269+0.227)*J4/(80*85)</f>
        <v>292.576340925219</v>
      </c>
    </row>
    <row r="5" customFormat="false" ht="15" hidden="false" customHeight="false" outlineLevel="0" collapsed="false">
      <c r="A5" s="0" t="n">
        <f aca="false">2024-B5</f>
        <v>39</v>
      </c>
      <c r="B5" s="0" t="n">
        <v>1985</v>
      </c>
      <c r="C5" s="0" t="n">
        <v>2159413</v>
      </c>
      <c r="D5" s="1" t="n">
        <v>8113</v>
      </c>
      <c r="E5" s="3" t="n">
        <f aca="false">15917*A5^(-0.133)</f>
        <v>9777.99078283151</v>
      </c>
      <c r="F5" s="0" t="n">
        <f aca="false">D5*E5</f>
        <v>79328839.2211121</v>
      </c>
      <c r="G5" s="0" t="n">
        <v>0.117096018735363</v>
      </c>
      <c r="H5" s="4" t="n">
        <v>0</v>
      </c>
      <c r="I5" s="4" t="n">
        <f aca="false">0.000001*H5*F5*($L$2)*($O$2)</f>
        <v>0</v>
      </c>
      <c r="J5" s="1" t="n">
        <f aca="false">G5*F5*($L$2)*($O$2)</f>
        <v>719904.57138597</v>
      </c>
      <c r="K5" s="1" t="n">
        <f aca="false">(2.269+0.227)*J5/(80*85)</f>
        <v>264.24732502638</v>
      </c>
    </row>
    <row r="6" customFormat="false" ht="15" hidden="false" customHeight="false" outlineLevel="0" collapsed="false">
      <c r="A6" s="0" t="n">
        <f aca="false">2024-B6</f>
        <v>38</v>
      </c>
      <c r="B6" s="0" t="n">
        <v>1986</v>
      </c>
      <c r="C6" s="0" t="n">
        <v>2159413</v>
      </c>
      <c r="D6" s="1" t="n">
        <v>12968</v>
      </c>
      <c r="E6" s="3" t="n">
        <f aca="false">15917*A6^(-0.133)</f>
        <v>9811.82961421417</v>
      </c>
      <c r="F6" s="0" t="n">
        <f aca="false">D6*E6</f>
        <v>127239806.437129</v>
      </c>
      <c r="G6" s="0" t="n">
        <v>0.118203309692671</v>
      </c>
      <c r="H6" s="4" t="n">
        <v>0</v>
      </c>
      <c r="I6" s="4" t="n">
        <f aca="false">0.000001*H6*F6*($L$2)*($O$2)</f>
        <v>0</v>
      </c>
      <c r="J6" s="1" t="n">
        <f aca="false">G6*F6*($L$2)*($O$2)</f>
        <v>1165612.88402808</v>
      </c>
      <c r="K6" s="1" t="n">
        <f aca="false">(2.269+0.227)*J6/(80*85)</f>
        <v>427.84849390207</v>
      </c>
    </row>
    <row r="7" customFormat="false" ht="15" hidden="false" customHeight="false" outlineLevel="0" collapsed="false">
      <c r="A7" s="0" t="n">
        <f aca="false">2024-B7</f>
        <v>37</v>
      </c>
      <c r="B7" s="0" t="n">
        <v>1987</v>
      </c>
      <c r="C7" s="0" t="n">
        <v>2159413</v>
      </c>
      <c r="D7" s="1" t="n">
        <v>7911</v>
      </c>
      <c r="E7" s="3" t="n">
        <f aca="false">15917*A7^(-0.133)</f>
        <v>9846.69275673361</v>
      </c>
      <c r="F7" s="0" t="n">
        <f aca="false">D7*E7</f>
        <v>77897186.3985196</v>
      </c>
      <c r="G7" s="0" t="n">
        <v>0.117370892018779</v>
      </c>
      <c r="H7" s="4" t="n">
        <v>0</v>
      </c>
      <c r="I7" s="4" t="n">
        <f aca="false">0.000001*H7*F7*($L$2)*($O$2)</f>
        <v>0</v>
      </c>
      <c r="J7" s="1" t="n">
        <f aca="false">G7*F7*($L$2)*($O$2)</f>
        <v>708571.824634421</v>
      </c>
      <c r="K7" s="1" t="n">
        <f aca="false">(2.269+0.227)*J7/(80*85)</f>
        <v>260.087540336399</v>
      </c>
    </row>
    <row r="8" customFormat="false" ht="15" hidden="false" customHeight="false" outlineLevel="0" collapsed="false">
      <c r="A8" s="0" t="n">
        <f aca="false">2024-B8</f>
        <v>36</v>
      </c>
      <c r="B8" s="0" t="n">
        <v>1988</v>
      </c>
      <c r="C8" s="0" t="n">
        <v>2159413</v>
      </c>
      <c r="D8" s="1" t="n">
        <v>9191</v>
      </c>
      <c r="E8" s="3" t="n">
        <f aca="false">15917*A8^(-0.133)</f>
        <v>9882.64018864812</v>
      </c>
      <c r="F8" s="0" t="n">
        <f aca="false">D8*E8</f>
        <v>90831345.9738648</v>
      </c>
      <c r="G8" s="0" t="n">
        <v>0.116550116550117</v>
      </c>
      <c r="H8" s="4" t="n">
        <v>0</v>
      </c>
      <c r="I8" s="4" t="n">
        <f aca="false">0.000001*H8*F8*($L$2)*($O$2)</f>
        <v>0</v>
      </c>
      <c r="J8" s="1" t="n">
        <f aca="false">G8*F8*($L$2)*($O$2)</f>
        <v>820446.306873488</v>
      </c>
      <c r="K8" s="1" t="n">
        <f aca="false">(2.269+0.227)*J8/(80*85)</f>
        <v>301.152056170033</v>
      </c>
    </row>
    <row r="9" customFormat="false" ht="15" hidden="false" customHeight="false" outlineLevel="0" collapsed="false">
      <c r="A9" s="0" t="n">
        <f aca="false">2024-B9</f>
        <v>35</v>
      </c>
      <c r="B9" s="0" t="n">
        <v>1989</v>
      </c>
      <c r="C9" s="0" t="n">
        <v>2159413</v>
      </c>
      <c r="D9" s="5" t="n">
        <v>11914</v>
      </c>
      <c r="E9" s="3" t="n">
        <f aca="false">15917*A9^(-0.133)</f>
        <v>9919.73719265191</v>
      </c>
      <c r="F9" s="0" t="n">
        <f aca="false">D9*E9</f>
        <v>118183748.913255</v>
      </c>
      <c r="G9" s="0" t="n">
        <v>0.115606936416185</v>
      </c>
      <c r="H9" s="4" t="n">
        <v>0</v>
      </c>
      <c r="I9" s="4" t="n">
        <f aca="false">0.000001*H9*F9*($L$2)*($O$2)</f>
        <v>0</v>
      </c>
      <c r="J9" s="1" t="n">
        <f aca="false">G9*F9*($L$2)*($O$2)</f>
        <v>1058871.73881818</v>
      </c>
      <c r="K9" s="1" t="n">
        <f aca="false">(2.269+0.227)*J9/(80*85)</f>
        <v>388.668214719143</v>
      </c>
    </row>
    <row r="10" customFormat="false" ht="15" hidden="false" customHeight="false" outlineLevel="0" collapsed="false">
      <c r="A10" s="0" t="n">
        <f aca="false">2024-B10</f>
        <v>34</v>
      </c>
      <c r="B10" s="0" t="n">
        <v>1990</v>
      </c>
      <c r="C10" s="0" t="n">
        <v>2159413</v>
      </c>
      <c r="D10" s="5" t="n">
        <v>11719</v>
      </c>
      <c r="E10" s="3" t="n">
        <f aca="false">15917*A10^(-0.133)</f>
        <v>9958.05499274656</v>
      </c>
      <c r="F10" s="0" t="n">
        <f aca="false">D10*E10</f>
        <v>116698446.459997</v>
      </c>
      <c r="G10" s="0" t="n">
        <v>0.115606936416185</v>
      </c>
      <c r="H10" s="4" t="n">
        <v>0</v>
      </c>
      <c r="I10" s="4" t="n">
        <f aca="false">0.000001*H10*F10*($L$2)*($O$2)</f>
        <v>0</v>
      </c>
      <c r="J10" s="1" t="n">
        <f aca="false">G10*F10*($L$2)*($O$2)</f>
        <v>1045564.11568205</v>
      </c>
      <c r="K10" s="1" t="n">
        <f aca="false">(2.269+0.227)*J10/(80*85)</f>
        <v>383.783534226824</v>
      </c>
    </row>
    <row r="11" customFormat="false" ht="15" hidden="false" customHeight="false" outlineLevel="0" collapsed="false">
      <c r="A11" s="0" t="n">
        <f aca="false">2024-B11</f>
        <v>33</v>
      </c>
      <c r="B11" s="0" t="n">
        <v>1991</v>
      </c>
      <c r="C11" s="0" t="n">
        <v>2159413</v>
      </c>
      <c r="D11" s="5" t="n">
        <v>11560</v>
      </c>
      <c r="E11" s="3" t="n">
        <f aca="false">15917*A11^(-0.133)</f>
        <v>9997.67148892658</v>
      </c>
      <c r="F11" s="0" t="n">
        <f aca="false">D11*E11</f>
        <v>115573082.411991</v>
      </c>
      <c r="G11" s="0" t="n">
        <v>0.115606936416185</v>
      </c>
      <c r="H11" s="4" t="n">
        <v>0</v>
      </c>
      <c r="I11" s="4" t="n">
        <f aca="false">0.000001*H11*F11*($L$2)*($O$2)</f>
        <v>0</v>
      </c>
      <c r="J11" s="1" t="n">
        <f aca="false">G11*F11*($L$2)*($O$2)</f>
        <v>1035481.37421148</v>
      </c>
      <c r="K11" s="1" t="n">
        <f aca="false">(2.269+0.227)*J11/(80*85)</f>
        <v>380.082575004685</v>
      </c>
    </row>
    <row r="12" customFormat="false" ht="15" hidden="false" customHeight="false" outlineLevel="0" collapsed="false">
      <c r="A12" s="0" t="n">
        <f aca="false">2024-B12</f>
        <v>32</v>
      </c>
      <c r="B12" s="0" t="n">
        <v>1992</v>
      </c>
      <c r="C12" s="0" t="n">
        <v>2159413</v>
      </c>
      <c r="D12" s="5" t="n">
        <v>10376</v>
      </c>
      <c r="E12" s="3" t="n">
        <f aca="false">15917*A12^(-0.133)</f>
        <v>10038.6721081835</v>
      </c>
      <c r="F12" s="0" t="n">
        <f aca="false">D12*E12</f>
        <v>104161261.794512</v>
      </c>
      <c r="G12" s="0" t="n">
        <v>0.124843945068664</v>
      </c>
      <c r="H12" s="4" t="n">
        <v>0</v>
      </c>
      <c r="I12" s="4" t="n">
        <f aca="false">0.000001*H12*F12*($L$2)*($O$2)</f>
        <v>0</v>
      </c>
      <c r="J12" s="1" t="n">
        <f aca="false">G12*F12*($L$2)*($O$2)</f>
        <v>1007802.47054615</v>
      </c>
      <c r="K12" s="1" t="n">
        <f aca="false">(2.269+0.227)*J12/(80*85)</f>
        <v>369.922789188705</v>
      </c>
    </row>
    <row r="13" customFormat="false" ht="15" hidden="false" customHeight="false" outlineLevel="0" collapsed="false">
      <c r="A13" s="0" t="n">
        <f aca="false">2024-B13</f>
        <v>31</v>
      </c>
      <c r="B13" s="0" t="n">
        <v>1993</v>
      </c>
      <c r="C13" s="0" t="n">
        <v>2159413</v>
      </c>
      <c r="D13" s="5" t="n">
        <v>15694</v>
      </c>
      <c r="E13" s="3" t="n">
        <f aca="false">15917*A13^(-0.133)</f>
        <v>10081.1507945342</v>
      </c>
      <c r="F13" s="0" t="n">
        <f aca="false">D13*E13</f>
        <v>158213580.56942</v>
      </c>
      <c r="G13" s="0" t="n">
        <v>0.117096018735363</v>
      </c>
      <c r="H13" s="4" t="n">
        <v>0</v>
      </c>
      <c r="I13" s="4" t="n">
        <f aca="false">0.000001*H13*F13*($L$2)*($O$2)</f>
        <v>0</v>
      </c>
      <c r="J13" s="1" t="n">
        <f aca="false">G13*F13*($L$2)*($O$2)</f>
        <v>1435778.98057729</v>
      </c>
      <c r="K13" s="1" t="n">
        <f aca="false">(2.269+0.227)*J13/(80*85)</f>
        <v>527.015343458958</v>
      </c>
    </row>
    <row r="14" customFormat="false" ht="15" hidden="false" customHeight="false" outlineLevel="0" collapsed="false">
      <c r="A14" s="0" t="n">
        <f aca="false">2024-B14</f>
        <v>30</v>
      </c>
      <c r="B14" s="0" t="n">
        <v>1994</v>
      </c>
      <c r="C14" s="0" t="n">
        <v>2159413</v>
      </c>
      <c r="D14" s="5" t="n">
        <v>20900</v>
      </c>
      <c r="E14" s="3" t="n">
        <f aca="false">15917*A14^(-0.133)</f>
        <v>10125.2111661042</v>
      </c>
      <c r="F14" s="0" t="n">
        <f aca="false">D14*E14</f>
        <v>211616913.371579</v>
      </c>
      <c r="G14" s="0" t="n">
        <v>0.13262599469496</v>
      </c>
      <c r="H14" s="4" t="n">
        <v>0</v>
      </c>
      <c r="I14" s="4" t="n">
        <f aca="false">0.000001*H14*F14*($L$2)*($O$2)</f>
        <v>0</v>
      </c>
      <c r="J14" s="1" t="n">
        <f aca="false">G14*F14*($L$2)*($O$2)</f>
        <v>2175107.53133917</v>
      </c>
      <c r="K14" s="1" t="n">
        <f aca="false">(2.269+0.227)*J14/(80*85)</f>
        <v>798.392411503319</v>
      </c>
    </row>
    <row r="15" customFormat="false" ht="15" hidden="false" customHeight="false" outlineLevel="0" collapsed="false">
      <c r="A15" s="0" t="n">
        <f aca="false">2024-B15</f>
        <v>29</v>
      </c>
      <c r="B15" s="0" t="n">
        <v>1995</v>
      </c>
      <c r="C15" s="0" t="n">
        <v>2159413</v>
      </c>
      <c r="D15" s="5" t="n">
        <v>28781</v>
      </c>
      <c r="E15" s="3" t="n">
        <f aca="false">15917*A15^(-0.133)</f>
        <v>10170.9678740935</v>
      </c>
      <c r="F15" s="0" t="n">
        <f aca="false">D15*E15</f>
        <v>292730626.384284</v>
      </c>
      <c r="G15" s="0" t="n">
        <v>0.13262599469496</v>
      </c>
      <c r="H15" s="4" t="n">
        <v>0</v>
      </c>
      <c r="I15" s="4" t="n">
        <f aca="false">0.000001*H15*F15*($L$2)*($O$2)</f>
        <v>0</v>
      </c>
      <c r="J15" s="1" t="n">
        <f aca="false">G15*F15*($L$2)*($O$2)</f>
        <v>3008836.01389682</v>
      </c>
      <c r="K15" s="1" t="n">
        <f aca="false">(2.269+0.227)*J15/(80*85)</f>
        <v>1104.41980745389</v>
      </c>
    </row>
    <row r="16" customFormat="false" ht="15" hidden="false" customHeight="false" outlineLevel="0" collapsed="false">
      <c r="A16" s="0" t="n">
        <f aca="false">2024-B16</f>
        <v>28</v>
      </c>
      <c r="B16" s="0" t="n">
        <v>1996</v>
      </c>
      <c r="C16" s="0" t="n">
        <v>2159413</v>
      </c>
      <c r="D16" s="5" t="n">
        <v>26136</v>
      </c>
      <c r="E16" s="3" t="n">
        <f aca="false">15917*A16^(-0.133)</f>
        <v>10218.548207195</v>
      </c>
      <c r="F16" s="0" t="n">
        <f aca="false">D16*E16</f>
        <v>267071975.94325</v>
      </c>
      <c r="G16" s="0" t="n">
        <v>0.139470013947001</v>
      </c>
      <c r="H16" s="4" t="n">
        <v>0</v>
      </c>
      <c r="I16" s="4" t="n">
        <f aca="false">0.000001*H16*F16*($L$2)*($O$2)</f>
        <v>0</v>
      </c>
      <c r="J16" s="1" t="n">
        <f aca="false">G16*F16*($L$2)*($O$2)</f>
        <v>2886761.24624851</v>
      </c>
      <c r="K16" s="1" t="n">
        <f aca="false">(2.269+0.227)*J16/(80*85)</f>
        <v>1059.61118685828</v>
      </c>
    </row>
    <row r="17" customFormat="false" ht="15" hidden="false" customHeight="false" outlineLevel="0" collapsed="false">
      <c r="A17" s="0" t="n">
        <f aca="false">2024-B17</f>
        <v>27</v>
      </c>
      <c r="B17" s="0" t="n">
        <v>1997</v>
      </c>
      <c r="C17" s="0" t="n">
        <v>2159413</v>
      </c>
      <c r="D17" s="5" t="n">
        <v>31555</v>
      </c>
      <c r="E17" s="3" t="n">
        <f aca="false">15917*A17^(-0.133)</f>
        <v>10268.0939963745</v>
      </c>
      <c r="F17" s="0" t="n">
        <f aca="false">D17*E17</f>
        <v>324009706.055596</v>
      </c>
      <c r="G17" s="0" t="n">
        <v>0.139470013947001</v>
      </c>
      <c r="H17" s="4" t="n">
        <v>0</v>
      </c>
      <c r="I17" s="4" t="n">
        <f aca="false">0.000001*H17*F17*($L$2)*($O$2)</f>
        <v>0</v>
      </c>
      <c r="J17" s="1" t="n">
        <f aca="false">G17*F17*($L$2)*($O$2)</f>
        <v>3502196.96224668</v>
      </c>
      <c r="K17" s="1" t="n">
        <f aca="false">(2.269+0.227)*J17/(80*85)</f>
        <v>1285.51229673055</v>
      </c>
    </row>
    <row r="18" customFormat="false" ht="15" hidden="false" customHeight="false" outlineLevel="0" collapsed="false">
      <c r="A18" s="0" t="n">
        <f aca="false">2024-B18</f>
        <v>26</v>
      </c>
      <c r="B18" s="0" t="n">
        <v>1998</v>
      </c>
      <c r="C18" s="0" t="n">
        <v>2159413</v>
      </c>
      <c r="D18" s="5" t="n">
        <v>27723</v>
      </c>
      <c r="E18" s="3" t="n">
        <f aca="false">15917*A18^(-0.133)</f>
        <v>10319.7638897434</v>
      </c>
      <c r="F18" s="0" t="n">
        <f aca="false">D18*E18</f>
        <v>286094814.315357</v>
      </c>
      <c r="G18" s="0" t="n">
        <v>0.134952766531714</v>
      </c>
      <c r="H18" s="4" t="n">
        <v>0</v>
      </c>
      <c r="I18" s="4" t="n">
        <f aca="false">0.000001*H18*F18*($L$2)*($O$2)</f>
        <v>0</v>
      </c>
      <c r="J18" s="1" t="n">
        <f aca="false">G18*F18*($L$2)*($O$2)</f>
        <v>2992219.71787317</v>
      </c>
      <c r="K18" s="1" t="n">
        <f aca="false">(2.269+0.227)*J18/(80*85)</f>
        <v>1098.32064938403</v>
      </c>
    </row>
    <row r="19" customFormat="false" ht="15" hidden="false" customHeight="false" outlineLevel="0" collapsed="false">
      <c r="A19" s="0" t="n">
        <f aca="false">2024-B19</f>
        <v>25</v>
      </c>
      <c r="B19" s="0" t="n">
        <v>1999</v>
      </c>
      <c r="C19" s="0" t="n">
        <v>2159413</v>
      </c>
      <c r="D19" s="5" t="n">
        <v>25948</v>
      </c>
      <c r="E19" s="3" t="n">
        <f aca="false">15917*A19^(-0.133)</f>
        <v>10373.7360868367</v>
      </c>
      <c r="F19" s="0" t="n">
        <f aca="false">D19*E19</f>
        <v>269177703.981239</v>
      </c>
      <c r="G19" s="0" t="n">
        <v>0.124843945068664</v>
      </c>
      <c r="H19" s="4" t="n">
        <v>0</v>
      </c>
      <c r="I19" s="4" t="n">
        <f aca="false">0.000001*H19*F19*($L$2)*($O$2)</f>
        <v>0</v>
      </c>
      <c r="J19" s="1" t="n">
        <f aca="false">G19*F19*($L$2)*($O$2)</f>
        <v>2604403.50293958</v>
      </c>
      <c r="K19" s="1" t="n">
        <f aca="false">(2.269+0.227)*J19/(80*85)</f>
        <v>955.969285784882</v>
      </c>
    </row>
    <row r="20" customFormat="false" ht="15" hidden="false" customHeight="false" outlineLevel="0" collapsed="false">
      <c r="A20" s="0" t="n">
        <f aca="false">2024-B20</f>
        <v>24</v>
      </c>
      <c r="B20" s="0" t="n">
        <v>2000</v>
      </c>
      <c r="C20" s="0" t="n">
        <v>2159413</v>
      </c>
      <c r="D20" s="5" t="n">
        <v>30389</v>
      </c>
      <c r="E20" s="3" t="n">
        <f aca="false">15917*A20^(-0.133)</f>
        <v>10430.2116476944</v>
      </c>
      <c r="F20" s="0" t="n">
        <f aca="false">D20*E20</f>
        <v>316963701.761786</v>
      </c>
      <c r="G20" s="0" t="n">
        <v>0.14367816091954</v>
      </c>
      <c r="H20" s="4" t="n">
        <v>0</v>
      </c>
      <c r="I20" s="4" t="n">
        <f aca="false">0.000001*H20*F20*($L$2)*($O$2)</f>
        <v>0</v>
      </c>
      <c r="J20" s="1" t="n">
        <f aca="false">G20*F20*($L$2)*($O$2)</f>
        <v>3529409.03542219</v>
      </c>
      <c r="K20" s="1" t="n">
        <f aca="false">(2.269+0.227)*J20/(80*85)</f>
        <v>1295.50072829614</v>
      </c>
    </row>
    <row r="21" customFormat="false" ht="15" hidden="false" customHeight="false" outlineLevel="0" collapsed="false">
      <c r="A21" s="0" t="n">
        <f aca="false">2024-B21</f>
        <v>23</v>
      </c>
      <c r="B21" s="0" t="n">
        <v>2001</v>
      </c>
      <c r="C21" s="0" t="n">
        <v>2159413</v>
      </c>
      <c r="D21" s="5" t="n">
        <v>36981</v>
      </c>
      <c r="E21" s="3" t="n">
        <f aca="false">15917*A21^(-0.133)</f>
        <v>10489.418527313</v>
      </c>
      <c r="F21" s="0" t="n">
        <f aca="false">D21*E21</f>
        <v>387909186.558564</v>
      </c>
      <c r="G21" s="0" t="n">
        <v>0.14367816091954</v>
      </c>
      <c r="H21" s="4" t="n">
        <v>0</v>
      </c>
      <c r="I21" s="4" t="n">
        <f aca="false">0.000001*H21*F21*($L$2)*($O$2)</f>
        <v>0</v>
      </c>
      <c r="J21" s="1" t="n">
        <f aca="false">G21*F21*($L$2)*($O$2)</f>
        <v>4319391.08596102</v>
      </c>
      <c r="K21" s="1" t="n">
        <f aca="false">(2.269+0.227)*J21/(80*85)</f>
        <v>1585.47061037628</v>
      </c>
    </row>
    <row r="22" customFormat="false" ht="15" hidden="false" customHeight="false" outlineLevel="0" collapsed="false">
      <c r="A22" s="0" t="n">
        <f aca="false">2024-B22</f>
        <v>22</v>
      </c>
      <c r="B22" s="0" t="n">
        <v>2002</v>
      </c>
      <c r="C22" s="0" t="n">
        <v>2159413</v>
      </c>
      <c r="D22" s="5" t="n">
        <v>27739</v>
      </c>
      <c r="E22" s="3" t="n">
        <f aca="false">15917*A22^(-0.133)</f>
        <v>10551.6165339506</v>
      </c>
      <c r="F22" s="0" t="n">
        <f aca="false">D22*E22</f>
        <v>292691291.035257</v>
      </c>
      <c r="G22" s="0" t="n">
        <v>0.138888888888889</v>
      </c>
      <c r="H22" s="4" t="n">
        <v>0</v>
      </c>
      <c r="I22" s="4" t="n">
        <f aca="false">0.000001*H22*F22*($L$2)*($O$2)</f>
        <v>0</v>
      </c>
      <c r="J22" s="1" t="n">
        <f aca="false">G22*F22*($L$2)*($O$2)</f>
        <v>3150496.53544894</v>
      </c>
      <c r="K22" s="1" t="n">
        <f aca="false">(2.269+0.227)*J22/(80*85)</f>
        <v>1156.41755183538</v>
      </c>
    </row>
    <row r="23" customFormat="false" ht="15" hidden="false" customHeight="false" outlineLevel="0" collapsed="false">
      <c r="A23" s="0" t="n">
        <f aca="false">2024-B23</f>
        <v>21</v>
      </c>
      <c r="B23" s="0" t="n">
        <v>2003</v>
      </c>
      <c r="C23" s="0" t="n">
        <v>2159413</v>
      </c>
      <c r="D23" s="5" t="n">
        <v>32498</v>
      </c>
      <c r="E23" s="3" t="n">
        <f aca="false">15917*A23^(-0.133)</f>
        <v>10617.1034758997</v>
      </c>
      <c r="F23" s="0" t="n">
        <f aca="false">D23*E23</f>
        <v>345034628.759789</v>
      </c>
      <c r="G23" s="0" t="n">
        <v>0.133333333333333</v>
      </c>
      <c r="H23" s="4" t="n">
        <v>0</v>
      </c>
      <c r="I23" s="4" t="n">
        <f aca="false">0.000001*H23*F23*($L$2)*($O$2)</f>
        <v>0</v>
      </c>
      <c r="J23" s="1" t="n">
        <f aca="false">G23*F23*($L$2)*($O$2)</f>
        <v>3565357.83051782</v>
      </c>
      <c r="K23" s="1" t="n">
        <f aca="false">(2.269+0.227)*J23/(80*85)</f>
        <v>1308.69605073125</v>
      </c>
    </row>
    <row r="24" customFormat="false" ht="15" hidden="false" customHeight="false" outlineLevel="0" collapsed="false">
      <c r="A24" s="0" t="n">
        <f aca="false">2024-B24</f>
        <v>20</v>
      </c>
      <c r="B24" s="0" t="n">
        <v>2004</v>
      </c>
      <c r="C24" s="0" t="n">
        <v>2159413</v>
      </c>
      <c r="D24" s="5" t="n">
        <v>32276</v>
      </c>
      <c r="E24" s="3" t="n">
        <f aca="false">15917*A24^(-0.133)</f>
        <v>10686.2228538255</v>
      </c>
      <c r="F24" s="0" t="n">
        <f aca="false">D24*E24</f>
        <v>344908528.830073</v>
      </c>
      <c r="G24" s="0" t="n">
        <v>0.116279069767442</v>
      </c>
      <c r="H24" s="4" t="n">
        <v>0</v>
      </c>
      <c r="I24" s="4" t="n">
        <f aca="false">0.000001*H24*F24*($L$2)*($O$2)</f>
        <v>0</v>
      </c>
      <c r="J24" s="1" t="n">
        <f aca="false">G24*F24*($L$2)*($O$2)</f>
        <v>3108187.32375938</v>
      </c>
      <c r="K24" s="1" t="n">
        <f aca="false">(2.269+0.227)*J24/(80*85)</f>
        <v>1140.88758236815</v>
      </c>
    </row>
    <row r="25" customFormat="false" ht="15" hidden="false" customHeight="false" outlineLevel="0" collapsed="false">
      <c r="A25" s="0" t="n">
        <f aca="false">2024-B25</f>
        <v>19</v>
      </c>
      <c r="B25" s="0" t="n">
        <v>2005</v>
      </c>
      <c r="C25" s="0" t="n">
        <v>2159413</v>
      </c>
      <c r="D25" s="5" t="n">
        <v>37683</v>
      </c>
      <c r="E25" s="3" t="n">
        <f aca="false">15917*A25^(-0.133)</f>
        <v>10759.3735870126</v>
      </c>
      <c r="F25" s="0" t="n">
        <f aca="false">D25*E25</f>
        <v>405445474.879395</v>
      </c>
      <c r="G25" s="0" t="n">
        <v>0.116279069767442</v>
      </c>
      <c r="H25" s="4" t="n">
        <v>0</v>
      </c>
      <c r="I25" s="4" t="n">
        <f aca="false">0.000001*H25*F25*($L$2)*($O$2)</f>
        <v>0</v>
      </c>
      <c r="J25" s="1" t="n">
        <f aca="false">G25*F25*($L$2)*($O$2)</f>
        <v>3653723.75618059</v>
      </c>
      <c r="K25" s="1" t="n">
        <f aca="false">(2.269+0.227)*J25/(80*85)</f>
        <v>1341.13154344511</v>
      </c>
    </row>
    <row r="26" customFormat="false" ht="15" hidden="false" customHeight="false" outlineLevel="0" collapsed="false">
      <c r="A26" s="0" t="n">
        <f aca="false">2024-B26</f>
        <v>18</v>
      </c>
      <c r="B26" s="0" t="n">
        <v>2006</v>
      </c>
      <c r="C26" s="0" t="n">
        <v>2159413</v>
      </c>
      <c r="D26" s="5" t="n">
        <v>39803</v>
      </c>
      <c r="E26" s="3" t="n">
        <f aca="false">15917*A26^(-0.133)</f>
        <v>10837.0224511084</v>
      </c>
      <c r="F26" s="0" t="n">
        <f aca="false">D26*E26</f>
        <v>431346004.621469</v>
      </c>
      <c r="G26" s="0" t="n">
        <v>0.144927536231884</v>
      </c>
      <c r="H26" s="4" t="n">
        <v>0</v>
      </c>
      <c r="I26" s="4" t="n">
        <f aca="false">0.000001*H26*F26*($L$2)*($O$2)</f>
        <v>0</v>
      </c>
      <c r="J26" s="1" t="n">
        <f aca="false">G26*F26*($L$2)*($O$2)</f>
        <v>4844828.31277737</v>
      </c>
      <c r="K26" s="1" t="n">
        <f aca="false">(2.269+0.227)*J26/(80*85)</f>
        <v>1778.33698069005</v>
      </c>
    </row>
    <row r="27" customFormat="false" ht="15" hidden="false" customHeight="false" outlineLevel="0" collapsed="false">
      <c r="A27" s="0" t="n">
        <f aca="false">2024-B27</f>
        <v>17</v>
      </c>
      <c r="B27" s="0" t="n">
        <v>2007</v>
      </c>
      <c r="C27" s="0" t="n">
        <v>2159413</v>
      </c>
      <c r="D27" s="5" t="n">
        <v>55117</v>
      </c>
      <c r="E27" s="3" t="n">
        <f aca="false">15917*A27^(-0.133)</f>
        <v>10919.7201826417</v>
      </c>
      <c r="F27" s="0" t="n">
        <f aca="false">D27*E27</f>
        <v>601862217.306663</v>
      </c>
      <c r="G27" s="0" t="n">
        <v>0.128205128205128</v>
      </c>
      <c r="H27" s="4" t="n">
        <v>0</v>
      </c>
      <c r="I27" s="4" t="n">
        <f aca="false">0.000001*H27*F27*($L$2)*($O$2)</f>
        <v>0</v>
      </c>
      <c r="J27" s="1" t="n">
        <f aca="false">G27*F27*($L$2)*($O$2)</f>
        <v>5980041.26170082</v>
      </c>
      <c r="K27" s="1" t="n">
        <f aca="false">(2.269+0.227)*J27/(80*85)</f>
        <v>2195.02691017724</v>
      </c>
    </row>
    <row r="28" customFormat="false" ht="15" hidden="false" customHeight="false" outlineLevel="0" collapsed="false">
      <c r="A28" s="0" t="n">
        <f aca="false">2024-B28</f>
        <v>16</v>
      </c>
      <c r="B28" s="0" t="n">
        <v>2008</v>
      </c>
      <c r="C28" s="0" t="n">
        <v>2159413</v>
      </c>
      <c r="D28" s="5" t="n">
        <v>87478</v>
      </c>
      <c r="E28" s="3" t="n">
        <f aca="false">15917*A28^(-0.133)</f>
        <v>11008.1226209838</v>
      </c>
      <c r="F28" s="0" t="n">
        <f aca="false">D28*E28</f>
        <v>962968550.638418</v>
      </c>
      <c r="G28" s="0" t="n">
        <v>0.128205128205128</v>
      </c>
      <c r="H28" s="4" t="n">
        <v>0</v>
      </c>
      <c r="I28" s="4" t="n">
        <f aca="false">0.000001*H28*F28*($L$2)*($O$2)</f>
        <v>0</v>
      </c>
      <c r="J28" s="1" t="n">
        <f aca="false">G28*F28*($L$2)*($O$2)</f>
        <v>9567956.75313813</v>
      </c>
      <c r="K28" s="1" t="n">
        <f aca="false">(2.269+0.227)*J28/(80*85)</f>
        <v>3512.00294938717</v>
      </c>
    </row>
    <row r="29" customFormat="false" ht="15" hidden="false" customHeight="false" outlineLevel="0" collapsed="false">
      <c r="A29" s="0" t="n">
        <f aca="false">2024-B29</f>
        <v>15</v>
      </c>
      <c r="B29" s="0" t="n">
        <v>2009</v>
      </c>
      <c r="C29" s="0" t="n">
        <v>2159413</v>
      </c>
      <c r="D29" s="5" t="n">
        <v>69122</v>
      </c>
      <c r="E29" s="3" t="n">
        <f aca="false">15917*A29^(-0.133)</f>
        <v>11103.0188932028</v>
      </c>
      <c r="F29" s="0" t="n">
        <f aca="false">D29*E29</f>
        <v>767462871.935964</v>
      </c>
      <c r="G29" s="0" t="n">
        <v>0.12987012987013</v>
      </c>
      <c r="H29" s="4" t="n">
        <v>0</v>
      </c>
      <c r="I29" s="4" t="n">
        <f aca="false">0.000001*H29*F29*($L$2)*($O$2)</f>
        <v>0</v>
      </c>
      <c r="J29" s="1" t="n">
        <f aca="false">G29*F29*($L$2)*($O$2)</f>
        <v>7724463.97078405</v>
      </c>
      <c r="K29" s="1" t="n">
        <f aca="false">(2.269+0.227)*J29/(80*85)</f>
        <v>2835.33265751132</v>
      </c>
    </row>
    <row r="30" customFormat="false" ht="15" hidden="false" customHeight="false" outlineLevel="0" collapsed="false">
      <c r="A30" s="0" t="n">
        <f aca="false">2024-B30</f>
        <v>14</v>
      </c>
      <c r="B30" s="0" t="n">
        <v>2010</v>
      </c>
      <c r="C30" s="0" t="n">
        <v>2159413</v>
      </c>
      <c r="D30" s="5" t="n">
        <v>94582</v>
      </c>
      <c r="E30" s="3" t="n">
        <f aca="false">15917*A30^(-0.133)</f>
        <v>11205.3696406258</v>
      </c>
      <c r="F30" s="0" t="n">
        <f aca="false">D30*E30</f>
        <v>1059826271.34967</v>
      </c>
      <c r="G30" s="0" t="n">
        <v>0.128205128205128</v>
      </c>
      <c r="H30" s="4" t="n">
        <v>0</v>
      </c>
      <c r="I30" s="4" t="n">
        <f aca="false">0.000001*H30*F30*($L$2)*($O$2)</f>
        <v>0</v>
      </c>
      <c r="J30" s="1" t="n">
        <f aca="false">G30*F30*($L$2)*($O$2)</f>
        <v>10530325.132</v>
      </c>
      <c r="K30" s="1" t="n">
        <f aca="false">(2.269+0.227)*J30/(80*85)</f>
        <v>3865.2487543341</v>
      </c>
    </row>
    <row r="31" customFormat="false" ht="15" hidden="false" customHeight="false" outlineLevel="0" collapsed="false">
      <c r="A31" s="0" t="n">
        <f aca="false">2024-B31</f>
        <v>13</v>
      </c>
      <c r="B31" s="0" t="n">
        <v>2011</v>
      </c>
      <c r="C31" s="0" t="n">
        <v>2159413</v>
      </c>
      <c r="D31" s="5" t="n">
        <v>104397</v>
      </c>
      <c r="E31" s="3" t="n">
        <f aca="false">15917*A31^(-0.133)</f>
        <v>11316.3598824279</v>
      </c>
      <c r="F31" s="0" t="n">
        <f aca="false">D31*E31</f>
        <v>1181394022.64583</v>
      </c>
      <c r="G31" s="0" t="n">
        <v>0.117647058823529</v>
      </c>
      <c r="H31" s="4" t="n">
        <v>0</v>
      </c>
      <c r="I31" s="4" t="n">
        <f aca="false">0.000001*H31*F31*($L$2)*($O$2)</f>
        <v>0</v>
      </c>
      <c r="J31" s="1" t="n">
        <f aca="false">G31*F31*($L$2)*($O$2)</f>
        <v>10771533.7358884</v>
      </c>
      <c r="K31" s="1" t="n">
        <f aca="false">(2.269+0.227)*J31/(80*85)</f>
        <v>3953.78650070258</v>
      </c>
    </row>
    <row r="32" customFormat="false" ht="15" hidden="false" customHeight="false" outlineLevel="0" collapsed="false">
      <c r="A32" s="0" t="n">
        <f aca="false">2024-B32</f>
        <v>12</v>
      </c>
      <c r="B32" s="0" t="n">
        <v>2012</v>
      </c>
      <c r="C32" s="0" t="n">
        <v>2159413</v>
      </c>
      <c r="D32" s="5" t="n">
        <v>102398</v>
      </c>
      <c r="E32" s="3" t="n">
        <f aca="false">15917*A32^(-0.133)</f>
        <v>11437.4737558202</v>
      </c>
      <c r="F32" s="0" t="n">
        <f aca="false">D32*E32</f>
        <v>1171174437.64848</v>
      </c>
      <c r="G32" s="0" t="n">
        <v>0.116279069767442</v>
      </c>
      <c r="H32" s="4" t="n">
        <v>0</v>
      </c>
      <c r="I32" s="4" t="n">
        <f aca="false">0.000001*H32*F32*($L$2)*($O$2)</f>
        <v>0</v>
      </c>
      <c r="J32" s="1" t="n">
        <f aca="false">G32*F32*($L$2)*($O$2)</f>
        <v>10554188.2462508</v>
      </c>
      <c r="K32" s="1" t="n">
        <f aca="false">(2.269+0.227)*J32/(80*85)</f>
        <v>3874.00792097678</v>
      </c>
    </row>
    <row r="33" customFormat="false" ht="15" hidden="false" customHeight="false" outlineLevel="0" collapsed="false">
      <c r="A33" s="0" t="n">
        <f aca="false">2024-B33</f>
        <v>11</v>
      </c>
      <c r="B33" s="0" t="n">
        <v>2013</v>
      </c>
      <c r="C33" s="0" t="n">
        <v>2159413</v>
      </c>
      <c r="D33" s="5" t="n">
        <v>115983</v>
      </c>
      <c r="E33" s="3" t="n">
        <f aca="false">15917*A33^(-0.133)</f>
        <v>11570.6029048045</v>
      </c>
      <c r="F33" s="0" t="n">
        <f aca="false">D33*E33</f>
        <v>1341993236.70795</v>
      </c>
      <c r="G33" s="0" t="n">
        <v>0.117647058823529</v>
      </c>
      <c r="H33" s="4" t="n">
        <v>0</v>
      </c>
      <c r="I33" s="4" t="n">
        <f aca="false">0.000001*H33*F33*($L$2)*($O$2)</f>
        <v>0</v>
      </c>
      <c r="J33" s="1" t="n">
        <f aca="false">G33*F33*($L$2)*($O$2)</f>
        <v>12235820.6876313</v>
      </c>
      <c r="K33" s="1" t="n">
        <f aca="false">(2.269+0.227)*J33/(80*85)</f>
        <v>4491.26594651877</v>
      </c>
    </row>
    <row r="34" customFormat="false" ht="15" hidden="false" customHeight="false" outlineLevel="0" collapsed="false">
      <c r="A34" s="0" t="n">
        <f aca="false">2024-B34</f>
        <v>10</v>
      </c>
      <c r="B34" s="0" t="n">
        <v>2014</v>
      </c>
      <c r="C34" s="0" t="n">
        <v>2159413</v>
      </c>
      <c r="D34" s="5" t="n">
        <v>107808</v>
      </c>
      <c r="E34" s="3" t="n">
        <f aca="false">15917*A34^(-0.133)</f>
        <v>11718.2083708237</v>
      </c>
      <c r="F34" s="0" t="n">
        <f aca="false">D34*E34</f>
        <v>1263316608.04176</v>
      </c>
      <c r="G34" s="0" t="n">
        <v>0.116279069767442</v>
      </c>
      <c r="H34" s="4" t="n">
        <v>0</v>
      </c>
      <c r="I34" s="4" t="n">
        <f aca="false">0.000001*H34*F34*($L$2)*($O$2)</f>
        <v>0</v>
      </c>
      <c r="J34" s="1" t="n">
        <f aca="false">G34*F34*($L$2)*($O$2)</f>
        <v>11384539.2003764</v>
      </c>
      <c r="K34" s="1" t="n">
        <f aca="false">(2.269+0.227)*J34/(80*85)</f>
        <v>4178.79556531461</v>
      </c>
    </row>
    <row r="35" customFormat="false" ht="15" hidden="false" customHeight="false" outlineLevel="0" collapsed="false">
      <c r="A35" s="0" t="n">
        <f aca="false">2024-B35</f>
        <v>9</v>
      </c>
      <c r="B35" s="0" t="n">
        <v>2015</v>
      </c>
      <c r="C35" s="0" t="n">
        <v>2159413</v>
      </c>
      <c r="D35" s="5" t="n">
        <v>99995</v>
      </c>
      <c r="E35" s="3" t="n">
        <f aca="false">15917*A35^(-0.133)</f>
        <v>11883.5709247746</v>
      </c>
      <c r="F35" s="0" t="n">
        <f aca="false">D35*E35</f>
        <v>1188297674.62284</v>
      </c>
      <c r="G35" s="0" t="n">
        <v>0.113636363636364</v>
      </c>
      <c r="H35" s="4" t="n">
        <v>0</v>
      </c>
      <c r="I35" s="4" t="n">
        <f aca="false">0.000001*H35*F35*($L$2)*($O$2)</f>
        <v>0</v>
      </c>
      <c r="J35" s="1" t="n">
        <f aca="false">G35*F35*($L$2)*($O$2)</f>
        <v>10465121.5662807</v>
      </c>
      <c r="K35" s="1" t="n">
        <f aca="false">(2.269+0.227)*J35/(80*85)</f>
        <v>3841.31521021127</v>
      </c>
    </row>
    <row r="36" customFormat="false" ht="15" hidden="false" customHeight="false" outlineLevel="0" collapsed="false">
      <c r="A36" s="0" t="n">
        <f aca="false">2024-B36</f>
        <v>8</v>
      </c>
      <c r="B36" s="0" t="n">
        <v>2016</v>
      </c>
      <c r="C36" s="0" t="n">
        <v>2159413</v>
      </c>
      <c r="D36" s="5" t="n">
        <v>67051</v>
      </c>
      <c r="E36" s="3" t="n">
        <f aca="false">15917*A36^(-0.133)</f>
        <v>12071.1945098625</v>
      </c>
      <c r="F36" s="0" t="n">
        <f aca="false">D36*E36</f>
        <v>809385663.08079</v>
      </c>
      <c r="G36" s="0" t="n">
        <v>0.108695652173913</v>
      </c>
      <c r="H36" s="4" t="n">
        <v>0</v>
      </c>
      <c r="I36" s="4" t="n">
        <f aca="false">0.000001*H36*F36*($L$2)*($O$2)</f>
        <v>0</v>
      </c>
      <c r="J36" s="1" t="n">
        <f aca="false">G36*F36*($L$2)*($O$2)</f>
        <v>6818194.44443057</v>
      </c>
      <c r="K36" s="1" t="n">
        <f aca="false">(2.269+0.227)*J36/(80*85)</f>
        <v>2502.67843136746</v>
      </c>
    </row>
    <row r="37" customFormat="false" ht="15" hidden="false" customHeight="false" outlineLevel="0" collapsed="false">
      <c r="A37" s="0" t="n">
        <f aca="false">2024-B37</f>
        <v>7</v>
      </c>
      <c r="B37" s="0" t="n">
        <v>2017</v>
      </c>
      <c r="C37" s="0" t="n">
        <v>2159413</v>
      </c>
      <c r="D37" s="5" t="n">
        <v>62043</v>
      </c>
      <c r="E37" s="3" t="n">
        <f aca="false">15917*A37^(-0.133)</f>
        <v>12287.4899875356</v>
      </c>
      <c r="F37" s="0" t="n">
        <f aca="false">D37*E37</f>
        <v>762352741.296673</v>
      </c>
      <c r="G37" s="0" t="n">
        <v>0.104166666666667</v>
      </c>
      <c r="H37" s="4" t="n">
        <v>0</v>
      </c>
      <c r="I37" s="4" t="n">
        <f aca="false">0.000001*H37*F37*($L$2)*($O$2)</f>
        <v>0</v>
      </c>
      <c r="J37" s="1" t="n">
        <f aca="false">G37*F37*($L$2)*($O$2)</f>
        <v>6154410.15109294</v>
      </c>
      <c r="K37" s="1" t="n">
        <f aca="false">(2.269+0.227)*J37/(80*85)</f>
        <v>2259.03054957764</v>
      </c>
    </row>
    <row r="38" customFormat="false" ht="15" hidden="false" customHeight="false" outlineLevel="0" collapsed="false">
      <c r="A38" s="0" t="n">
        <f aca="false">2024-B38</f>
        <v>6</v>
      </c>
      <c r="B38" s="0" t="n">
        <v>2018</v>
      </c>
      <c r="C38" s="0" t="n">
        <v>2159413</v>
      </c>
      <c r="D38" s="5" t="n">
        <v>84341</v>
      </c>
      <c r="E38" s="3" t="n">
        <f aca="false">15917*A38^(-0.133)</f>
        <v>12542.0087658521</v>
      </c>
      <c r="F38" s="0" t="n">
        <f aca="false">D38*E38</f>
        <v>1057805561.32074</v>
      </c>
      <c r="G38" s="0" t="n">
        <v>0.102040816326531</v>
      </c>
      <c r="H38" s="4" t="n">
        <v>0</v>
      </c>
      <c r="I38" s="4" t="n">
        <f aca="false">0.000001*H38*F38*($L$2)*($O$2)</f>
        <v>0</v>
      </c>
      <c r="J38" s="1" t="n">
        <f aca="false">G38*F38*($L$2)*($O$2)</f>
        <v>8365299.08187316</v>
      </c>
      <c r="K38" s="1" t="n">
        <f aca="false">(2.269+0.227)*J38/(80*85)</f>
        <v>3070.55683946403</v>
      </c>
    </row>
    <row r="39" customFormat="false" ht="15" hidden="false" customHeight="false" outlineLevel="0" collapsed="false">
      <c r="A39" s="0" t="n">
        <f aca="false">2024-B39</f>
        <v>5</v>
      </c>
      <c r="B39" s="0" t="n">
        <v>2019</v>
      </c>
      <c r="C39" s="0" t="n">
        <v>2159413</v>
      </c>
      <c r="D39" s="5" t="n">
        <v>86020</v>
      </c>
      <c r="E39" s="3" t="n">
        <f aca="false">15917*A39^(-0.133)</f>
        <v>12849.8543685981</v>
      </c>
      <c r="F39" s="0" t="n">
        <f aca="false">D39*E39</f>
        <v>1105344472.78681</v>
      </c>
      <c r="G39" s="0" t="n">
        <v>0.102040816326531</v>
      </c>
      <c r="H39" s="4" t="n">
        <v>0</v>
      </c>
      <c r="I39" s="4" t="n">
        <f aca="false">0.000001*H39*F39*($L$2)*($O$2)</f>
        <v>0</v>
      </c>
      <c r="J39" s="1" t="n">
        <f aca="false">G39*F39*($L$2)*($O$2)</f>
        <v>8741244.55520181</v>
      </c>
      <c r="K39" s="1" t="n">
        <f aca="false">(2.269+0.227)*J39/(80*85)</f>
        <v>3208.55094261525</v>
      </c>
    </row>
    <row r="40" customFormat="false" ht="15" hidden="false" customHeight="false" outlineLevel="0" collapsed="false">
      <c r="A40" s="0" t="n">
        <f aca="false">2024-B40</f>
        <v>4</v>
      </c>
      <c r="B40" s="0" t="n">
        <v>2020</v>
      </c>
      <c r="C40" s="0" t="n">
        <v>2159413</v>
      </c>
      <c r="D40" s="5" t="n">
        <v>82794</v>
      </c>
      <c r="E40" s="3" t="n">
        <f aca="false">15917*A40^(-0.133)</f>
        <v>13236.9289398334</v>
      </c>
      <c r="F40" s="0" t="n">
        <f aca="false">D40*E40</f>
        <v>1095938294.64457</v>
      </c>
      <c r="G40" s="0" t="n">
        <v>0.100381616231647</v>
      </c>
      <c r="H40" s="4" t="n">
        <v>0</v>
      </c>
      <c r="I40" s="4" t="n">
        <f aca="false">0.000001*H40*F40*($L$2)*($O$2)</f>
        <v>0</v>
      </c>
      <c r="J40" s="1" t="n">
        <f aca="false">G40*F40*($L$2)*($O$2)</f>
        <v>8525934.44125967</v>
      </c>
      <c r="K40" s="1" t="n">
        <f aca="false">(2.269+0.227)*J40/(80*85)</f>
        <v>3129.51946549767</v>
      </c>
    </row>
    <row r="41" customFormat="false" ht="15" hidden="false" customHeight="false" outlineLevel="0" collapsed="false">
      <c r="A41" s="0" t="n">
        <f aca="false">2024-B41</f>
        <v>3</v>
      </c>
      <c r="B41" s="0" t="n">
        <v>2021</v>
      </c>
      <c r="C41" s="0" t="n">
        <v>2159413</v>
      </c>
      <c r="D41" s="0" t="n">
        <v>70630</v>
      </c>
      <c r="E41" s="3" t="n">
        <f aca="false">15917*A41^(-0.133)</f>
        <v>13753.2104764538</v>
      </c>
      <c r="F41" s="0" t="n">
        <f aca="false">D41*E41</f>
        <v>971389255.951931</v>
      </c>
      <c r="G41" s="0" t="n">
        <v>0.0981542698161229</v>
      </c>
      <c r="H41" s="4" t="n">
        <v>0</v>
      </c>
      <c r="I41" s="4" t="n">
        <f aca="false">0.000001*H41*F41*($L$2)*($O$2)</f>
        <v>0</v>
      </c>
      <c r="J41" s="1" t="n">
        <f aca="false">G41*F41*($L$2)*($O$2)</f>
        <v>7389315.24220212</v>
      </c>
      <c r="K41" s="1" t="n">
        <f aca="false">(2.269+0.227)*J41/(80*85)</f>
        <v>2712.31335949066</v>
      </c>
    </row>
    <row r="42" customFormat="false" ht="15" hidden="false" customHeight="false" outlineLevel="0" collapsed="false">
      <c r="A42" s="0" t="n">
        <f aca="false">2024-B42</f>
        <v>2</v>
      </c>
      <c r="B42" s="0" t="n">
        <v>2022</v>
      </c>
      <c r="C42" s="0" t="n">
        <v>2159413</v>
      </c>
      <c r="D42" s="0" t="n">
        <v>80437</v>
      </c>
      <c r="E42" s="3" t="n">
        <f aca="false">15917*A42^(-0.133)</f>
        <v>14515.2401955782</v>
      </c>
      <c r="F42" s="0" t="n">
        <f aca="false">D42*E42</f>
        <v>1167562375.61172</v>
      </c>
      <c r="G42" s="0" t="n">
        <v>0.0963444869916176</v>
      </c>
      <c r="H42" s="4" t="n">
        <v>0</v>
      </c>
      <c r="I42" s="4" t="n">
        <f aca="false">0.000001*H42*F42*($L$2)*($O$2)</f>
        <v>0</v>
      </c>
      <c r="J42" s="1" t="n">
        <f aca="false">G42*F42*($L$2)*($O$2)</f>
        <v>8717835.35344948</v>
      </c>
      <c r="K42" s="1" t="n">
        <f aca="false">(2.269+0.227)*J42/(80*85)</f>
        <v>3199.95838856028</v>
      </c>
    </row>
    <row r="43" customFormat="false" ht="15" hidden="false" customHeight="false" outlineLevel="0" collapsed="false">
      <c r="A43" s="0" t="n">
        <f aca="false">2024-B43</f>
        <v>1</v>
      </c>
      <c r="B43" s="0" t="n">
        <v>2023</v>
      </c>
      <c r="C43" s="0" t="n">
        <v>2159413</v>
      </c>
      <c r="D43" s="0" t="n">
        <v>116878</v>
      </c>
      <c r="E43" s="3" t="n">
        <f aca="false">15917*A43^(-0.133)</f>
        <v>15917</v>
      </c>
      <c r="F43" s="0" t="n">
        <f aca="false">D43*E43</f>
        <v>1860347126</v>
      </c>
      <c r="G43" s="0" t="n">
        <v>0.0928445836212079</v>
      </c>
      <c r="H43" s="4" t="n">
        <v>0</v>
      </c>
      <c r="I43" s="4" t="n">
        <f aca="false">0.000001*H43*F43*($L$2)*($O$2)</f>
        <v>0</v>
      </c>
      <c r="J43" s="1" t="n">
        <f aca="false">G43*F43*($L$2)*($O$2)</f>
        <v>13386044.4585895</v>
      </c>
      <c r="K43" s="1" t="n">
        <f aca="false">(2.269+0.227)*J43/(80*85)</f>
        <v>4913.46573068227</v>
      </c>
    </row>
    <row r="44" customFormat="false" ht="15" hidden="false" customHeight="false" outlineLevel="0" collapsed="false">
      <c r="A44" s="0" t="n">
        <f aca="false">2024-B44</f>
        <v>0</v>
      </c>
      <c r="B44" s="0" t="n">
        <v>2024</v>
      </c>
      <c r="C44" s="0" t="n">
        <v>2159413</v>
      </c>
      <c r="D44" s="0" t="n">
        <v>103454</v>
      </c>
      <c r="E44" s="3" t="n">
        <v>16000</v>
      </c>
      <c r="F44" s="0" t="n">
        <f aca="false">D44*E44</f>
        <v>1655264000</v>
      </c>
      <c r="G44" s="0" t="n">
        <v>0.0964982977592377</v>
      </c>
      <c r="H44" s="4" t="n">
        <v>0</v>
      </c>
      <c r="I44" s="4" t="n">
        <f aca="false">0.000001*H44*F44*($L$2)*($O$2)</f>
        <v>0</v>
      </c>
      <c r="J44" s="1" t="n">
        <f aca="false">G44*F44*($L$2)*($O$2)</f>
        <v>12379087.2715164</v>
      </c>
      <c r="K44" s="1" t="n">
        <f aca="false">(2.269+0.227)*J44/(80*85)</f>
        <v>4543.85321025072</v>
      </c>
    </row>
    <row r="45" customFormat="false" ht="15" hidden="false" customHeight="false" outlineLevel="0" collapsed="false">
      <c r="I45" s="6" t="n">
        <f aca="false">SUM(I2:I44)</f>
        <v>0</v>
      </c>
      <c r="J45" s="9" t="n">
        <f aca="false">SUM(J2:J44)</f>
        <v>231155689.719689</v>
      </c>
      <c r="K45" s="7" t="n">
        <f aca="false">18*$M$2*(1-$L$2)*$N$2*J45*0.000001</f>
        <v>96894.6862382508</v>
      </c>
      <c r="L45" s="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0" width="16.85"/>
    <col collapsed="false" customWidth="true" hidden="false" outlineLevel="0" max="5" min="5" style="0" width="10.14"/>
    <col collapsed="false" customWidth="true" hidden="false" outlineLevel="0" max="9" min="8" style="0" width="11"/>
    <col collapsed="false" customWidth="true" hidden="false" outlineLevel="0" max="10" min="10" style="0" width="16.43"/>
    <col collapsed="false" customWidth="true" hidden="false" outlineLevel="0" max="12" min="11" style="0" width="14.29"/>
  </cols>
  <sheetData>
    <row r="1" customFormat="false" ht="35.05" hidden="false" customHeight="false" outlineLevel="0" collapsed="false"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1" t="s">
        <v>19</v>
      </c>
      <c r="H1" s="1" t="s">
        <v>20</v>
      </c>
      <c r="I1" s="1" t="s">
        <v>21</v>
      </c>
      <c r="J1" s="0" t="s">
        <v>22</v>
      </c>
      <c r="K1" s="1" t="s">
        <v>23</v>
      </c>
      <c r="L1" s="1" t="s">
        <v>24</v>
      </c>
      <c r="M1" s="1" t="s">
        <v>25</v>
      </c>
      <c r="N1" s="0" t="s">
        <v>26</v>
      </c>
    </row>
    <row r="2" customFormat="false" ht="15" hidden="false" customHeight="false" outlineLevel="0" collapsed="false">
      <c r="B2" s="0" t="n">
        <v>2967</v>
      </c>
      <c r="C2" s="0" t="n">
        <v>2780</v>
      </c>
      <c r="D2" s="0" t="n">
        <v>1780</v>
      </c>
      <c r="E2" s="0" t="n">
        <v>1186</v>
      </c>
      <c r="F2" s="0" t="n">
        <v>939</v>
      </c>
      <c r="G2" s="0" t="n">
        <v>40</v>
      </c>
      <c r="H2" s="0" t="n">
        <v>7416.02</v>
      </c>
      <c r="I2" s="0" t="n">
        <f aca="false">H2*12</f>
        <v>88992.24</v>
      </c>
      <c r="J2" s="10" t="n">
        <f aca="false">H2*C2</f>
        <v>20616535.6</v>
      </c>
      <c r="K2" s="11" t="n">
        <f aca="false">0.000001*$J$2*(FE!J3/FE!L3)*FE!N3*(1/FE!M3)</f>
        <v>27.1907491548976</v>
      </c>
      <c r="L2" s="11" t="n">
        <f aca="false">$J$2/FE!M3</f>
        <v>9817397.90476191</v>
      </c>
      <c r="M2" s="0" t="n">
        <v>2021</v>
      </c>
      <c r="N2" s="0" t="s">
        <v>27</v>
      </c>
    </row>
    <row r="3" customFormat="false" ht="15" hidden="false" customHeight="false" outlineLevel="0" collapsed="false">
      <c r="K3" s="11" t="n">
        <f aca="false">0.000001*$J$2*(FE!J4/FE!L4)*FE!N4*(1/FE!M4)</f>
        <v>26.9877368398884</v>
      </c>
      <c r="L3" s="11" t="n">
        <f aca="false">$J$2/FE!M4</f>
        <v>9817397.90476191</v>
      </c>
      <c r="M3" s="0" t="n">
        <v>2022</v>
      </c>
      <c r="N3" s="0" t="s">
        <v>28</v>
      </c>
    </row>
    <row r="4" customFormat="false" ht="15" hidden="false" customHeight="false" outlineLevel="0" collapsed="false">
      <c r="K4" s="11" t="n">
        <f aca="false">0.000001*$J$2*(FE!J5/FE!L5)*FE!N5*(1/FE!M5)</f>
        <v>25.6836249088298</v>
      </c>
      <c r="L4" s="11" t="n">
        <f aca="false">$J$2/FE!M5</f>
        <v>9817397.90476191</v>
      </c>
      <c r="M4" s="0" t="n">
        <v>2023</v>
      </c>
      <c r="N4" s="0" t="s">
        <v>28</v>
      </c>
    </row>
    <row r="5" customFormat="false" ht="15" hidden="false" customHeight="false" outlineLevel="0" collapsed="false">
      <c r="K5" s="11" t="n">
        <f aca="false">0.000001*$J$2*(FE!J6/FE!L6)*FE!N6*(1/FE!M6)</f>
        <v>25.7333022879337</v>
      </c>
      <c r="L5" s="11" t="n">
        <f aca="false">$J$2/FE!M6</f>
        <v>9817397.90476191</v>
      </c>
      <c r="M5" s="0" t="n">
        <v>2024</v>
      </c>
      <c r="N5" s="0" t="s">
        <v>29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4" activeCellId="0" sqref="L4"/>
    </sheetView>
  </sheetViews>
  <sheetFormatPr defaultColWidth="8.6796875" defaultRowHeight="15" customHeight="true" zeroHeight="false" outlineLevelRow="0" outlineLevelCol="0"/>
  <cols>
    <col collapsed="false" customWidth="true" hidden="false" outlineLevel="0" max="12" min="12" style="0" width="22"/>
    <col collapsed="false" customWidth="true" hidden="false" outlineLevel="0" max="13" min="13" style="0" width="12.29"/>
    <col collapsed="false" customWidth="true" hidden="false" outlineLevel="0" max="14" min="14" style="0" width="12.57"/>
  </cols>
  <sheetData>
    <row r="1" customFormat="false" ht="15" hidden="false" customHeight="true" outlineLevel="0" collapsed="false">
      <c r="A1" s="12" t="s">
        <v>0</v>
      </c>
      <c r="B1" s="13" t="s">
        <v>26</v>
      </c>
      <c r="C1" s="12" t="s">
        <v>30</v>
      </c>
      <c r="D1" s="12"/>
      <c r="E1" s="13" t="s">
        <v>31</v>
      </c>
      <c r="F1" s="13" t="s">
        <v>32</v>
      </c>
      <c r="G1" s="13" t="s">
        <v>33</v>
      </c>
      <c r="H1" s="13" t="s">
        <v>34</v>
      </c>
      <c r="I1" s="13" t="s">
        <v>35</v>
      </c>
      <c r="J1" s="13" t="s">
        <v>36</v>
      </c>
      <c r="K1" s="13" t="s">
        <v>37</v>
      </c>
      <c r="L1" s="13" t="s">
        <v>38</v>
      </c>
      <c r="M1" s="14" t="s">
        <v>39</v>
      </c>
      <c r="N1" s="14" t="s">
        <v>40</v>
      </c>
    </row>
    <row r="2" customFormat="false" ht="15" hidden="false" customHeight="false" outlineLevel="0" collapsed="false">
      <c r="A2" s="12"/>
      <c r="B2" s="13"/>
      <c r="C2" s="12"/>
      <c r="D2" s="12"/>
      <c r="E2" s="13"/>
      <c r="F2" s="13"/>
      <c r="G2" s="13"/>
      <c r="H2" s="13"/>
      <c r="I2" s="13"/>
      <c r="J2" s="13"/>
      <c r="K2" s="13"/>
      <c r="L2" s="13"/>
      <c r="M2" s="14" t="s">
        <v>41</v>
      </c>
      <c r="N2" s="14" t="s">
        <v>42</v>
      </c>
    </row>
    <row r="3" customFormat="false" ht="15" hidden="false" customHeight="false" outlineLevel="0" collapsed="false">
      <c r="A3" s="0" t="n">
        <v>2021</v>
      </c>
      <c r="B3" s="0" t="s">
        <v>27</v>
      </c>
      <c r="C3" s="0" t="s">
        <v>43</v>
      </c>
      <c r="D3" s="15" t="s">
        <v>44</v>
      </c>
      <c r="E3" s="16" t="n">
        <v>0.259578347531599</v>
      </c>
      <c r="F3" s="16" t="n">
        <v>0.0182307738734026</v>
      </c>
      <c r="G3" s="17" t="s">
        <v>45</v>
      </c>
      <c r="H3" s="16" t="n">
        <v>1.47787117586552</v>
      </c>
      <c r="I3" s="16" t="n">
        <v>0.0135642224055506</v>
      </c>
      <c r="J3" s="18" t="n">
        <v>722.697861805295</v>
      </c>
      <c r="K3" s="19" t="n">
        <v>8.5381</v>
      </c>
      <c r="L3" s="18" t="n">
        <v>220.48989921532</v>
      </c>
      <c r="M3" s="19" t="n">
        <v>2.1</v>
      </c>
      <c r="N3" s="16" t="n">
        <v>0.845</v>
      </c>
    </row>
    <row r="4" customFormat="false" ht="15" hidden="false" customHeight="false" outlineLevel="0" collapsed="false">
      <c r="A4" s="0" t="n">
        <v>2022</v>
      </c>
      <c r="B4" s="0" t="s">
        <v>28</v>
      </c>
      <c r="C4" s="0" t="s">
        <v>43</v>
      </c>
      <c r="D4" s="20" t="s">
        <v>44</v>
      </c>
      <c r="E4" s="21" t="n">
        <v>0.23898731670631</v>
      </c>
      <c r="F4" s="21" t="n">
        <v>0.023854508754084</v>
      </c>
      <c r="G4" s="22" t="s">
        <v>45</v>
      </c>
      <c r="H4" s="21" t="n">
        <v>1.41966757424829</v>
      </c>
      <c r="I4" s="21" t="n">
        <v>0.0151259337908942</v>
      </c>
      <c r="J4" s="22" t="n">
        <v>715.889686401753</v>
      </c>
      <c r="K4" s="23" t="n">
        <v>7.9236</v>
      </c>
      <c r="L4" s="22" t="n">
        <v>220.055760396654</v>
      </c>
      <c r="M4" s="23" t="n">
        <v>2.1</v>
      </c>
      <c r="N4" s="21" t="n">
        <v>0.845</v>
      </c>
    </row>
    <row r="5" customFormat="false" ht="15" hidden="false" customHeight="false" outlineLevel="0" collapsed="false">
      <c r="A5" s="0" t="n">
        <v>2023</v>
      </c>
      <c r="B5" s="0" t="s">
        <v>28</v>
      </c>
      <c r="C5" s="0" t="s">
        <v>43</v>
      </c>
      <c r="D5" s="15" t="s">
        <v>44</v>
      </c>
      <c r="E5" s="16" t="n">
        <v>0.054415896747116</v>
      </c>
      <c r="F5" s="16" t="n">
        <v>0.0238135285206973</v>
      </c>
      <c r="G5" s="16" t="n">
        <v>0.005</v>
      </c>
      <c r="H5" s="16" t="n">
        <v>0.133576854723422</v>
      </c>
      <c r="I5" s="16" t="n">
        <v>0.00290677086438615</v>
      </c>
      <c r="J5" s="18" t="n">
        <v>679.148930705533</v>
      </c>
      <c r="K5" s="19" t="n">
        <v>1.7803</v>
      </c>
      <c r="L5" s="18" t="n">
        <v>219.362206054751</v>
      </c>
      <c r="M5" s="19" t="n">
        <v>2.1</v>
      </c>
      <c r="N5" s="16" t="n">
        <v>0.845</v>
      </c>
    </row>
    <row r="6" customFormat="false" ht="15" hidden="false" customHeight="false" outlineLevel="0" collapsed="false">
      <c r="A6" s="0" t="n">
        <v>2024</v>
      </c>
      <c r="B6" s="0" t="s">
        <v>29</v>
      </c>
      <c r="C6" s="0" t="s">
        <v>43</v>
      </c>
      <c r="D6" s="20" t="s">
        <v>44</v>
      </c>
      <c r="E6" s="21" t="n">
        <v>0.0391388437109164</v>
      </c>
      <c r="F6" s="21" t="n">
        <v>0.0190104591063433</v>
      </c>
      <c r="G6" s="21" t="n">
        <v>0</v>
      </c>
      <c r="H6" s="21" t="n">
        <v>0.110702444169632</v>
      </c>
      <c r="I6" s="21" t="n">
        <v>0.00261712456693684</v>
      </c>
      <c r="J6" s="22" t="n">
        <v>692.073483656861</v>
      </c>
      <c r="K6" s="23" t="n">
        <v>0.8015</v>
      </c>
      <c r="L6" s="22" t="n">
        <v>223.105250350442</v>
      </c>
      <c r="M6" s="23" t="n">
        <v>2.1</v>
      </c>
      <c r="N6" s="21" t="n">
        <v>0.845</v>
      </c>
    </row>
  </sheetData>
  <mergeCells count="11">
    <mergeCell ref="A1:A2"/>
    <mergeCell ref="B1:B2"/>
    <mergeCell ref="C1:D2"/>
    <mergeCell ref="E1:E2"/>
    <mergeCell ref="F1:F2"/>
    <mergeCell ref="G1:G2"/>
    <mergeCell ref="H1:H2"/>
    <mergeCell ref="I1:I2"/>
    <mergeCell ref="J1:J2"/>
    <mergeCell ref="K1:K2"/>
    <mergeCell ref="L1:L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9"/>
  <sheetViews>
    <sheetView showFormulas="false" showGridLines="true" showRowColHeaders="true" showZeros="true" rightToLeft="false" tabSelected="false" showOutlineSymbols="true" defaultGridColor="true" view="normal" topLeftCell="A112" colorId="64" zoomScale="100" zoomScaleNormal="100" zoomScalePageLayoutView="100" workbookViewId="0">
      <selection pane="topLeft" activeCell="Q6" activeCellId="0" sqref="Q6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0" width="12"/>
  </cols>
  <sheetData>
    <row r="1" customFormat="false" ht="15" hidden="false" customHeight="false" outlineLevel="0" collapsed="false">
      <c r="C1" s="0" t="s">
        <v>46</v>
      </c>
      <c r="D1" s="0" t="s">
        <v>47</v>
      </c>
      <c r="E1" s="0" t="s">
        <v>48</v>
      </c>
    </row>
    <row r="2" customFormat="false" ht="15" hidden="false" customHeight="false" outlineLevel="0" collapsed="false">
      <c r="A2" s="0" t="n">
        <v>1990</v>
      </c>
      <c r="B2" s="0" t="s">
        <v>49</v>
      </c>
      <c r="C2" s="0" t="n">
        <v>24659.988</v>
      </c>
      <c r="D2" s="0" t="n">
        <v>20544.692</v>
      </c>
      <c r="E2" s="24" t="n">
        <f aca="false">D2/F2</f>
        <v>0.454481527133916</v>
      </c>
      <c r="F2" s="0" t="n">
        <f aca="false">SUM(C2:D2)</f>
        <v>45204.68</v>
      </c>
    </row>
    <row r="3" customFormat="false" ht="15" hidden="false" customHeight="false" outlineLevel="0" collapsed="false">
      <c r="A3" s="0" t="n">
        <v>1990</v>
      </c>
      <c r="B3" s="0" t="s">
        <v>50</v>
      </c>
      <c r="C3" s="0" t="n">
        <v>14358.166</v>
      </c>
      <c r="D3" s="0" t="n">
        <v>15368.064</v>
      </c>
      <c r="E3" s="24" t="n">
        <f aca="false">D3/F3</f>
        <v>0.516986647819115</v>
      </c>
      <c r="F3" s="0" t="n">
        <f aca="false">SUM(C3:D3)</f>
        <v>29726.23</v>
      </c>
    </row>
    <row r="4" customFormat="false" ht="15" hidden="false" customHeight="false" outlineLevel="0" collapsed="false">
      <c r="A4" s="0" t="n">
        <v>1990</v>
      </c>
      <c r="B4" s="0" t="s">
        <v>51</v>
      </c>
      <c r="C4" s="0" t="n">
        <v>16818.771</v>
      </c>
      <c r="D4" s="0" t="n">
        <v>34415.728</v>
      </c>
      <c r="E4" s="24" t="n">
        <f aca="false">D4/F4</f>
        <v>0.671729570342827</v>
      </c>
      <c r="F4" s="0" t="n">
        <f aca="false">SUM(C4:D4)</f>
        <v>51234.499</v>
      </c>
    </row>
    <row r="5" customFormat="false" ht="15" hidden="false" customHeight="false" outlineLevel="0" collapsed="false">
      <c r="A5" s="0" t="n">
        <v>1990</v>
      </c>
      <c r="B5" s="0" t="s">
        <v>52</v>
      </c>
      <c r="C5" s="0" t="n">
        <v>18523.778</v>
      </c>
      <c r="D5" s="0" t="n">
        <v>21251.781</v>
      </c>
      <c r="E5" s="24" t="n">
        <f aca="false">D5/F5</f>
        <v>0.53429245331285</v>
      </c>
      <c r="F5" s="0" t="n">
        <f aca="false">SUM(C5:D5)</f>
        <v>39775.559</v>
      </c>
    </row>
    <row r="6" customFormat="false" ht="15" hidden="false" customHeight="false" outlineLevel="0" collapsed="false">
      <c r="A6" s="0" t="n">
        <v>1990</v>
      </c>
      <c r="B6" s="0" t="s">
        <v>53</v>
      </c>
      <c r="C6" s="0" t="n">
        <v>17737.725</v>
      </c>
      <c r="D6" s="0" t="n">
        <v>22946.532</v>
      </c>
      <c r="E6" s="24" t="n">
        <f aca="false">D6/F6</f>
        <v>0.564015019372235</v>
      </c>
      <c r="F6" s="0" t="n">
        <f aca="false">SUM(C6:D6)</f>
        <v>40684.257</v>
      </c>
    </row>
    <row r="7" customFormat="false" ht="15" hidden="false" customHeight="false" outlineLevel="0" collapsed="false">
      <c r="A7" s="0" t="n">
        <v>1990</v>
      </c>
      <c r="B7" s="0" t="s">
        <v>54</v>
      </c>
      <c r="C7" s="0" t="n">
        <v>18077.133</v>
      </c>
      <c r="D7" s="0" t="n">
        <v>22239.779</v>
      </c>
      <c r="E7" s="24" t="n">
        <f aca="false">D7/F7</f>
        <v>0.551624067835354</v>
      </c>
      <c r="F7" s="0" t="n">
        <f aca="false">SUM(C7:D7)</f>
        <v>40316.912</v>
      </c>
    </row>
    <row r="8" customFormat="false" ht="15" hidden="false" customHeight="false" outlineLevel="0" collapsed="false">
      <c r="A8" s="0" t="n">
        <v>1990</v>
      </c>
      <c r="B8" s="0" t="s">
        <v>55</v>
      </c>
      <c r="C8" s="0" t="n">
        <v>28211.696</v>
      </c>
      <c r="D8" s="0" t="n">
        <v>22557.118</v>
      </c>
      <c r="E8" s="24" t="n">
        <f aca="false">D8/F8</f>
        <v>0.444310517082396</v>
      </c>
      <c r="F8" s="0" t="n">
        <f aca="false">SUM(C8:D8)</f>
        <v>50768.814</v>
      </c>
    </row>
    <row r="9" customFormat="false" ht="15" hidden="false" customHeight="false" outlineLevel="0" collapsed="false">
      <c r="A9" s="0" t="n">
        <v>1990</v>
      </c>
      <c r="B9" s="0" t="s">
        <v>56</v>
      </c>
      <c r="C9" s="0" t="n">
        <v>17486.292</v>
      </c>
      <c r="D9" s="0" t="n">
        <v>33320.016</v>
      </c>
      <c r="E9" s="24" t="n">
        <f aca="false">D9/F9</f>
        <v>0.655824390939802</v>
      </c>
      <c r="F9" s="0" t="n">
        <f aca="false">SUM(C9:D9)</f>
        <v>50806.308</v>
      </c>
    </row>
    <row r="10" customFormat="false" ht="15" hidden="false" customHeight="false" outlineLevel="0" collapsed="false">
      <c r="A10" s="0" t="n">
        <v>1990</v>
      </c>
      <c r="B10" s="0" t="s">
        <v>57</v>
      </c>
      <c r="C10" s="0" t="n">
        <v>18013.114</v>
      </c>
      <c r="D10" s="0" t="n">
        <v>24120.197</v>
      </c>
      <c r="E10" s="24" t="n">
        <f aca="false">D10/F10</f>
        <v>0.57247333351039</v>
      </c>
      <c r="F10" s="0" t="n">
        <f aca="false">SUM(C10:D10)</f>
        <v>42133.311</v>
      </c>
    </row>
    <row r="11" customFormat="false" ht="15" hidden="false" customHeight="false" outlineLevel="0" collapsed="false">
      <c r="A11" s="0" t="n">
        <v>1990</v>
      </c>
      <c r="B11" s="0" t="s">
        <v>58</v>
      </c>
      <c r="C11" s="0" t="n">
        <v>20586.827</v>
      </c>
      <c r="D11" s="0" t="n">
        <v>17858.774</v>
      </c>
      <c r="E11" s="24" t="n">
        <f aca="false">D11/F11</f>
        <v>0.464520609262943</v>
      </c>
      <c r="F11" s="0" t="n">
        <f aca="false">SUM(C11:D11)</f>
        <v>38445.601</v>
      </c>
    </row>
    <row r="12" customFormat="false" ht="15" hidden="false" customHeight="false" outlineLevel="0" collapsed="false">
      <c r="A12" s="0" t="n">
        <v>1990</v>
      </c>
      <c r="B12" s="0" t="s">
        <v>59</v>
      </c>
      <c r="C12" s="0" t="n">
        <v>17704.665</v>
      </c>
      <c r="D12" s="0" t="n">
        <v>23810.679</v>
      </c>
      <c r="E12" s="24" t="n">
        <f aca="false">D12/F12</f>
        <v>0.573539243707098</v>
      </c>
      <c r="F12" s="0" t="n">
        <f aca="false">SUM(C12:D12)</f>
        <v>41515.344</v>
      </c>
    </row>
    <row r="13" customFormat="false" ht="15" hidden="false" customHeight="false" outlineLevel="0" collapsed="false">
      <c r="A13" s="0" t="n">
        <v>1990</v>
      </c>
      <c r="B13" s="0" t="s">
        <v>60</v>
      </c>
      <c r="C13" s="0" t="n">
        <v>17853.313</v>
      </c>
      <c r="D13" s="0" t="n">
        <v>22427.601</v>
      </c>
      <c r="E13" s="24" t="n">
        <f aca="false">D13/F13</f>
        <v>0.556779843674848</v>
      </c>
      <c r="F13" s="0" t="n">
        <f aca="false">SUM(C13:D13)</f>
        <v>40280.914</v>
      </c>
    </row>
    <row r="14" customFormat="false" ht="15" hidden="false" customHeight="false" outlineLevel="0" collapsed="false">
      <c r="A14" s="0" t="n">
        <v>1991</v>
      </c>
      <c r="B14" s="0" t="s">
        <v>59</v>
      </c>
      <c r="C14" s="0" t="n">
        <v>33343.42</v>
      </c>
      <c r="D14" s="0" t="n">
        <v>24117.243</v>
      </c>
      <c r="E14" s="24" t="n">
        <f aca="false">D14/F14</f>
        <v>0.419717450875915</v>
      </c>
      <c r="F14" s="0" t="n">
        <f aca="false">SUM(C14:D14)</f>
        <v>57460.663</v>
      </c>
    </row>
    <row r="15" customFormat="false" ht="15" hidden="false" customHeight="false" outlineLevel="0" collapsed="false">
      <c r="A15" s="0" t="n">
        <v>1991</v>
      </c>
      <c r="B15" s="0" t="s">
        <v>54</v>
      </c>
      <c r="C15" s="0" t="n">
        <v>24643.115</v>
      </c>
      <c r="D15" s="0" t="n">
        <v>8114.47</v>
      </c>
      <c r="E15" s="24" t="n">
        <f aca="false">D15/F15</f>
        <v>0.247712705316952</v>
      </c>
      <c r="F15" s="0" t="n">
        <f aca="false">SUM(C15:D15)</f>
        <v>32757.585</v>
      </c>
    </row>
    <row r="16" customFormat="false" ht="15" hidden="false" customHeight="false" outlineLevel="0" collapsed="false">
      <c r="A16" s="0" t="n">
        <v>1991</v>
      </c>
      <c r="B16" s="0" t="s">
        <v>51</v>
      </c>
      <c r="C16" s="0" t="n">
        <v>21418.852</v>
      </c>
      <c r="D16" s="0" t="n">
        <v>25323.964</v>
      </c>
      <c r="E16" s="24" t="n">
        <f aca="false">D16/F16</f>
        <v>0.541772322831384</v>
      </c>
      <c r="F16" s="0" t="n">
        <f aca="false">SUM(C16:D16)</f>
        <v>46742.816</v>
      </c>
    </row>
    <row r="17" customFormat="false" ht="15" hidden="false" customHeight="false" outlineLevel="0" collapsed="false">
      <c r="A17" s="0" t="n">
        <v>1991</v>
      </c>
      <c r="B17" s="0" t="s">
        <v>58</v>
      </c>
      <c r="C17" s="0" t="n">
        <v>17162.027</v>
      </c>
      <c r="D17" s="0" t="n">
        <v>36428.576</v>
      </c>
      <c r="E17" s="24" t="n">
        <f aca="false">D17/F17</f>
        <v>0.679756784972171</v>
      </c>
      <c r="F17" s="0" t="n">
        <f aca="false">SUM(C17:D17)</f>
        <v>53590.603</v>
      </c>
    </row>
    <row r="18" customFormat="false" ht="15" hidden="false" customHeight="false" outlineLevel="0" collapsed="false">
      <c r="A18" s="0" t="n">
        <v>1991</v>
      </c>
      <c r="B18" s="0" t="s">
        <v>57</v>
      </c>
      <c r="C18" s="0" t="n">
        <v>16109.177</v>
      </c>
      <c r="D18" s="0" t="n">
        <v>18443.498</v>
      </c>
      <c r="E18" s="24" t="n">
        <f aca="false">D18/F18</f>
        <v>0.533779164710113</v>
      </c>
      <c r="F18" s="0" t="n">
        <f aca="false">SUM(C18:D18)</f>
        <v>34552.675</v>
      </c>
    </row>
    <row r="19" customFormat="false" ht="15" hidden="false" customHeight="false" outlineLevel="0" collapsed="false">
      <c r="A19" s="0" t="n">
        <v>1991</v>
      </c>
      <c r="B19" s="0" t="s">
        <v>56</v>
      </c>
      <c r="C19" s="0" t="n">
        <v>18480.237</v>
      </c>
      <c r="D19" s="0" t="n">
        <v>17930.341</v>
      </c>
      <c r="E19" s="24" t="n">
        <f aca="false">D19/F19</f>
        <v>0.49244867796386</v>
      </c>
      <c r="F19" s="0" t="n">
        <f aca="false">SUM(C19:D19)</f>
        <v>36410.578</v>
      </c>
    </row>
    <row r="20" customFormat="false" ht="15" hidden="false" customHeight="false" outlineLevel="0" collapsed="false">
      <c r="A20" s="0" t="n">
        <v>1991</v>
      </c>
      <c r="B20" s="0" t="s">
        <v>55</v>
      </c>
      <c r="C20" s="0" t="n">
        <v>20241.083</v>
      </c>
      <c r="D20" s="0" t="n">
        <v>24021.568</v>
      </c>
      <c r="E20" s="24" t="n">
        <f aca="false">D20/F20</f>
        <v>0.542705135306966</v>
      </c>
      <c r="F20" s="0" t="n">
        <f aca="false">SUM(C20:D20)</f>
        <v>44262.651</v>
      </c>
    </row>
    <row r="21" customFormat="false" ht="15" hidden="false" customHeight="false" outlineLevel="0" collapsed="false">
      <c r="A21" s="0" t="n">
        <v>1991</v>
      </c>
      <c r="B21" s="0" t="s">
        <v>53</v>
      </c>
      <c r="C21" s="0" t="n">
        <v>21286.128</v>
      </c>
      <c r="D21" s="0" t="n">
        <v>13296.048</v>
      </c>
      <c r="E21" s="24" t="n">
        <f aca="false">D21/F21</f>
        <v>0.384476905097007</v>
      </c>
      <c r="F21" s="0" t="n">
        <f aca="false">SUM(C21:D21)</f>
        <v>34582.176</v>
      </c>
    </row>
    <row r="22" customFormat="false" ht="15" hidden="false" customHeight="false" outlineLevel="0" collapsed="false">
      <c r="A22" s="0" t="n">
        <v>1991</v>
      </c>
      <c r="B22" s="0" t="s">
        <v>52</v>
      </c>
      <c r="C22" s="0" t="n">
        <v>22477.942</v>
      </c>
      <c r="D22" s="0" t="n">
        <v>22081.446</v>
      </c>
      <c r="E22" s="24" t="n">
        <f aca="false">D22/F22</f>
        <v>0.495550926327803</v>
      </c>
      <c r="F22" s="0" t="n">
        <f aca="false">SUM(C22:D22)</f>
        <v>44559.388</v>
      </c>
    </row>
    <row r="23" customFormat="false" ht="15" hidden="false" customHeight="false" outlineLevel="0" collapsed="false">
      <c r="A23" s="0" t="n">
        <v>1991</v>
      </c>
      <c r="B23" s="0" t="s">
        <v>50</v>
      </c>
      <c r="C23" s="0" t="n">
        <v>25066.526</v>
      </c>
      <c r="D23" s="0" t="n">
        <v>20824.548</v>
      </c>
      <c r="E23" s="24" t="n">
        <f aca="false">D23/F23</f>
        <v>0.453782101504096</v>
      </c>
      <c r="F23" s="0" t="n">
        <f aca="false">SUM(C23:D23)</f>
        <v>45891.074</v>
      </c>
    </row>
    <row r="24" customFormat="false" ht="15" hidden="false" customHeight="false" outlineLevel="0" collapsed="false">
      <c r="A24" s="0" t="n">
        <v>1991</v>
      </c>
      <c r="B24" s="0" t="s">
        <v>60</v>
      </c>
      <c r="C24" s="0" t="n">
        <v>22965.686</v>
      </c>
      <c r="D24" s="0" t="n">
        <v>24102.066</v>
      </c>
      <c r="E24" s="24" t="n">
        <f aca="false">D24/F24</f>
        <v>0.512071747127418</v>
      </c>
      <c r="F24" s="0" t="n">
        <f aca="false">SUM(C24:D24)</f>
        <v>47067.752</v>
      </c>
    </row>
    <row r="25" customFormat="false" ht="15" hidden="false" customHeight="false" outlineLevel="0" collapsed="false">
      <c r="A25" s="0" t="n">
        <v>1991</v>
      </c>
      <c r="B25" s="0" t="s">
        <v>49</v>
      </c>
      <c r="C25" s="0" t="n">
        <v>19640.893</v>
      </c>
      <c r="D25" s="0" t="n">
        <v>22843.588</v>
      </c>
      <c r="E25" s="24" t="n">
        <f aca="false">D25/F25</f>
        <v>0.537692528243431</v>
      </c>
      <c r="F25" s="0" t="n">
        <f aca="false">SUM(C25:D25)</f>
        <v>42484.481</v>
      </c>
    </row>
    <row r="26" customFormat="false" ht="15" hidden="false" customHeight="false" outlineLevel="0" collapsed="false">
      <c r="A26" s="0" t="n">
        <v>1992</v>
      </c>
      <c r="B26" s="0" t="s">
        <v>60</v>
      </c>
      <c r="C26" s="0" t="n">
        <v>24692.679</v>
      </c>
      <c r="D26" s="0" t="n">
        <v>24430.322</v>
      </c>
      <c r="E26" s="24" t="n">
        <f aca="false">D26/F26</f>
        <v>0.497329591080968</v>
      </c>
      <c r="F26" s="0" t="n">
        <f aca="false">SUM(C26:D26)</f>
        <v>49123.001</v>
      </c>
    </row>
    <row r="27" customFormat="false" ht="15" hidden="false" customHeight="false" outlineLevel="0" collapsed="false">
      <c r="A27" s="0" t="n">
        <v>1992</v>
      </c>
      <c r="B27" s="0" t="s">
        <v>58</v>
      </c>
      <c r="C27" s="0" t="n">
        <v>18556.807</v>
      </c>
      <c r="D27" s="0" t="n">
        <v>22876.278</v>
      </c>
      <c r="E27" s="24" t="n">
        <f aca="false">D27/F27</f>
        <v>0.552125867528329</v>
      </c>
      <c r="F27" s="0" t="n">
        <f aca="false">SUM(C27:D27)</f>
        <v>41433.085</v>
      </c>
    </row>
    <row r="28" customFormat="false" ht="15" hidden="false" customHeight="false" outlineLevel="0" collapsed="false">
      <c r="A28" s="0" t="n">
        <v>1992</v>
      </c>
      <c r="B28" s="0" t="s">
        <v>56</v>
      </c>
      <c r="C28" s="0" t="n">
        <v>20784.209</v>
      </c>
      <c r="D28" s="0" t="n">
        <v>18672.584</v>
      </c>
      <c r="E28" s="24" t="n">
        <f aca="false">D28/F28</f>
        <v>0.473241299666701</v>
      </c>
      <c r="F28" s="0" t="n">
        <f aca="false">SUM(C28:D28)</f>
        <v>39456.793</v>
      </c>
    </row>
    <row r="29" customFormat="false" ht="15" hidden="false" customHeight="false" outlineLevel="0" collapsed="false">
      <c r="A29" s="0" t="n">
        <v>1992</v>
      </c>
      <c r="B29" s="0" t="s">
        <v>57</v>
      </c>
      <c r="C29" s="0" t="n">
        <v>19288.927</v>
      </c>
      <c r="D29" s="0" t="n">
        <v>22756.495</v>
      </c>
      <c r="E29" s="24" t="n">
        <f aca="false">D29/F29</f>
        <v>0.541235975702658</v>
      </c>
      <c r="F29" s="0" t="n">
        <f aca="false">SUM(C29:D29)</f>
        <v>42045.422</v>
      </c>
    </row>
    <row r="30" customFormat="false" ht="15" hidden="false" customHeight="false" outlineLevel="0" collapsed="false">
      <c r="A30" s="0" t="n">
        <v>1992</v>
      </c>
      <c r="B30" s="0" t="s">
        <v>49</v>
      </c>
      <c r="C30" s="0" t="n">
        <v>22961.366</v>
      </c>
      <c r="D30" s="0" t="n">
        <v>21922.964</v>
      </c>
      <c r="E30" s="24" t="n">
        <f aca="false">D30/F30</f>
        <v>0.488432466297258</v>
      </c>
      <c r="F30" s="0" t="n">
        <f aca="false">SUM(C30:D30)</f>
        <v>44884.33</v>
      </c>
    </row>
    <row r="31" customFormat="false" ht="15" hidden="false" customHeight="false" outlineLevel="0" collapsed="false">
      <c r="A31" s="0" t="n">
        <v>1992</v>
      </c>
      <c r="B31" s="0" t="s">
        <v>51</v>
      </c>
      <c r="C31" s="0" t="n">
        <v>14960.834</v>
      </c>
      <c r="D31" s="0" t="n">
        <v>24450.766</v>
      </c>
      <c r="E31" s="24" t="n">
        <f aca="false">D31/F31</f>
        <v>0.620395162845457</v>
      </c>
      <c r="F31" s="0" t="n">
        <f aca="false">SUM(C31:D31)</f>
        <v>39411.6</v>
      </c>
    </row>
    <row r="32" customFormat="false" ht="15" hidden="false" customHeight="false" outlineLevel="0" collapsed="false">
      <c r="A32" s="0" t="n">
        <v>1992</v>
      </c>
      <c r="B32" s="0" t="s">
        <v>55</v>
      </c>
      <c r="C32" s="0" t="n">
        <v>21635.842</v>
      </c>
      <c r="D32" s="0" t="n">
        <v>22244.046</v>
      </c>
      <c r="E32" s="24" t="n">
        <f aca="false">D32/F32</f>
        <v>0.506930327625267</v>
      </c>
      <c r="F32" s="0" t="n">
        <f aca="false">SUM(C32:D32)</f>
        <v>43879.888</v>
      </c>
    </row>
    <row r="33" customFormat="false" ht="15" hidden="false" customHeight="false" outlineLevel="0" collapsed="false">
      <c r="A33" s="0" t="n">
        <v>1992</v>
      </c>
      <c r="B33" s="0" t="s">
        <v>54</v>
      </c>
      <c r="C33" s="0" t="n">
        <v>21540.466</v>
      </c>
      <c r="D33" s="0" t="n">
        <v>22406.113</v>
      </c>
      <c r="E33" s="24" t="n">
        <f aca="false">D33/F33</f>
        <v>0.509848855356864</v>
      </c>
      <c r="F33" s="0" t="n">
        <f aca="false">SUM(C33:D33)</f>
        <v>43946.579</v>
      </c>
    </row>
    <row r="34" customFormat="false" ht="15" hidden="false" customHeight="false" outlineLevel="0" collapsed="false">
      <c r="A34" s="0" t="n">
        <v>1992</v>
      </c>
      <c r="B34" s="0" t="s">
        <v>50</v>
      </c>
      <c r="C34" s="0" t="n">
        <v>15854.878</v>
      </c>
      <c r="D34" s="0" t="n">
        <v>22333.717</v>
      </c>
      <c r="E34" s="24" t="n">
        <f aca="false">D34/F34</f>
        <v>0.584826883523733</v>
      </c>
      <c r="F34" s="0" t="n">
        <f aca="false">SUM(C34:D34)</f>
        <v>38188.595</v>
      </c>
    </row>
    <row r="35" customFormat="false" ht="15" hidden="false" customHeight="false" outlineLevel="0" collapsed="false">
      <c r="A35" s="0" t="n">
        <v>1992</v>
      </c>
      <c r="B35" s="0" t="s">
        <v>53</v>
      </c>
      <c r="C35" s="0" t="n">
        <v>24179.2</v>
      </c>
      <c r="D35" s="0" t="n">
        <v>23596.797</v>
      </c>
      <c r="E35" s="24" t="n">
        <f aca="false">D35/F35</f>
        <v>0.49390485770501</v>
      </c>
      <c r="F35" s="0" t="n">
        <f aca="false">SUM(C35:D35)</f>
        <v>47775.997</v>
      </c>
    </row>
    <row r="36" customFormat="false" ht="15" hidden="false" customHeight="false" outlineLevel="0" collapsed="false">
      <c r="A36" s="0" t="n">
        <v>1992</v>
      </c>
      <c r="B36" s="0" t="s">
        <v>52</v>
      </c>
      <c r="C36" s="0" t="n">
        <v>20885.662</v>
      </c>
      <c r="D36" s="0" t="n">
        <v>22029.671</v>
      </c>
      <c r="E36" s="24" t="n">
        <f aca="false">D36/F36</f>
        <v>0.513328674392437</v>
      </c>
      <c r="F36" s="0" t="n">
        <f aca="false">SUM(C36:D36)</f>
        <v>42915.333</v>
      </c>
    </row>
    <row r="37" customFormat="false" ht="15" hidden="false" customHeight="false" outlineLevel="0" collapsed="false">
      <c r="A37" s="0" t="n">
        <v>1992</v>
      </c>
      <c r="B37" s="0" t="s">
        <v>59</v>
      </c>
      <c r="C37" s="0" t="n">
        <v>15813.272</v>
      </c>
      <c r="D37" s="0" t="n">
        <v>20260.437</v>
      </c>
      <c r="E37" s="24" t="n">
        <f aca="false">D37/F37</f>
        <v>0.561639974420152</v>
      </c>
      <c r="F37" s="0" t="n">
        <f aca="false">SUM(C37:D37)</f>
        <v>36073.709</v>
      </c>
    </row>
    <row r="38" customFormat="false" ht="15" hidden="false" customHeight="false" outlineLevel="0" collapsed="false">
      <c r="A38" s="0" t="n">
        <v>1993</v>
      </c>
      <c r="B38" s="0" t="s">
        <v>56</v>
      </c>
      <c r="C38" s="0" t="n">
        <v>26471.238</v>
      </c>
      <c r="D38" s="0" t="n">
        <v>23965.742</v>
      </c>
      <c r="E38" s="24" t="n">
        <f aca="false">D38/F38</f>
        <v>0.475162113195517</v>
      </c>
      <c r="F38" s="0" t="n">
        <f aca="false">SUM(C38:D38)</f>
        <v>50436.98</v>
      </c>
    </row>
    <row r="39" customFormat="false" ht="15" hidden="false" customHeight="false" outlineLevel="0" collapsed="false">
      <c r="A39" s="0" t="n">
        <v>1993</v>
      </c>
      <c r="B39" s="0" t="s">
        <v>58</v>
      </c>
      <c r="C39" s="0" t="n">
        <v>20222.08</v>
      </c>
      <c r="D39" s="0" t="n">
        <v>24662.047</v>
      </c>
      <c r="E39" s="24" t="n">
        <f aca="false">D39/F39</f>
        <v>0.549460324804802</v>
      </c>
      <c r="F39" s="0" t="n">
        <f aca="false">SUM(C39:D39)</f>
        <v>44884.127</v>
      </c>
    </row>
    <row r="40" customFormat="false" ht="15" hidden="false" customHeight="false" outlineLevel="0" collapsed="false">
      <c r="A40" s="0" t="n">
        <v>1993</v>
      </c>
      <c r="B40" s="0" t="s">
        <v>50</v>
      </c>
      <c r="C40" s="0" t="n">
        <v>25326.851</v>
      </c>
      <c r="D40" s="0" t="n">
        <v>23887.533</v>
      </c>
      <c r="E40" s="24" t="n">
        <f aca="false">D40/F40</f>
        <v>0.485377059682389</v>
      </c>
      <c r="F40" s="0" t="n">
        <f aca="false">SUM(C40:D40)</f>
        <v>49214.384</v>
      </c>
    </row>
    <row r="41" customFormat="false" ht="15" hidden="false" customHeight="false" outlineLevel="0" collapsed="false">
      <c r="A41" s="0" t="n">
        <v>1993</v>
      </c>
      <c r="B41" s="0" t="s">
        <v>59</v>
      </c>
      <c r="C41" s="0" t="n">
        <v>25126.161</v>
      </c>
      <c r="D41" s="0" t="n">
        <v>24005.928</v>
      </c>
      <c r="E41" s="24" t="n">
        <f aca="false">D41/F41</f>
        <v>0.48859978251688</v>
      </c>
      <c r="F41" s="0" t="n">
        <f aca="false">SUM(C41:D41)</f>
        <v>49132.089</v>
      </c>
    </row>
    <row r="42" customFormat="false" ht="15" hidden="false" customHeight="false" outlineLevel="0" collapsed="false">
      <c r="A42" s="0" t="n">
        <v>1993</v>
      </c>
      <c r="B42" s="0" t="s">
        <v>52</v>
      </c>
      <c r="C42" s="0" t="n">
        <v>23823.177</v>
      </c>
      <c r="D42" s="0" t="n">
        <v>22780.977</v>
      </c>
      <c r="E42" s="24" t="n">
        <f aca="false">D42/F42</f>
        <v>0.488818593295353</v>
      </c>
      <c r="F42" s="0" t="n">
        <f aca="false">SUM(C42:D42)</f>
        <v>46604.154</v>
      </c>
    </row>
    <row r="43" customFormat="false" ht="15" hidden="false" customHeight="false" outlineLevel="0" collapsed="false">
      <c r="A43" s="0" t="n">
        <v>1993</v>
      </c>
      <c r="B43" s="0" t="s">
        <v>53</v>
      </c>
      <c r="C43" s="0" t="n">
        <v>26289.847</v>
      </c>
      <c r="D43" s="0" t="n">
        <v>25239.925</v>
      </c>
      <c r="E43" s="24" t="n">
        <f aca="false">D43/F43</f>
        <v>0.489812471904591</v>
      </c>
      <c r="F43" s="0" t="n">
        <f aca="false">SUM(C43:D43)</f>
        <v>51529.772</v>
      </c>
    </row>
    <row r="44" customFormat="false" ht="15" hidden="false" customHeight="false" outlineLevel="0" collapsed="false">
      <c r="A44" s="0" t="n">
        <v>1993</v>
      </c>
      <c r="B44" s="0" t="s">
        <v>54</v>
      </c>
      <c r="C44" s="0" t="n">
        <v>26238.324</v>
      </c>
      <c r="D44" s="0" t="n">
        <v>24440.528</v>
      </c>
      <c r="E44" s="24" t="n">
        <f aca="false">D44/F44</f>
        <v>0.482262857887941</v>
      </c>
      <c r="F44" s="0" t="n">
        <f aca="false">SUM(C44:D44)</f>
        <v>50678.852</v>
      </c>
    </row>
    <row r="45" customFormat="false" ht="15" hidden="false" customHeight="false" outlineLevel="0" collapsed="false">
      <c r="A45" s="0" t="n">
        <v>1993</v>
      </c>
      <c r="B45" s="0" t="s">
        <v>55</v>
      </c>
      <c r="C45" s="0" t="n">
        <v>24055.651</v>
      </c>
      <c r="D45" s="0" t="n">
        <v>23257.049</v>
      </c>
      <c r="E45" s="24" t="n">
        <f aca="false">D45/F45</f>
        <v>0.491560384421096</v>
      </c>
      <c r="F45" s="0" t="n">
        <f aca="false">SUM(C45:D45)</f>
        <v>47312.7</v>
      </c>
    </row>
    <row r="46" customFormat="false" ht="15" hidden="false" customHeight="false" outlineLevel="0" collapsed="false">
      <c r="A46" s="0" t="n">
        <v>1993</v>
      </c>
      <c r="B46" s="0" t="s">
        <v>51</v>
      </c>
      <c r="C46" s="0" t="n">
        <v>24943.413</v>
      </c>
      <c r="D46" s="0" t="n">
        <v>25809.398</v>
      </c>
      <c r="E46" s="24" t="n">
        <f aca="false">D46/F46</f>
        <v>0.508531399374116</v>
      </c>
      <c r="F46" s="0" t="n">
        <f aca="false">SUM(C46:D46)</f>
        <v>50752.811</v>
      </c>
    </row>
    <row r="47" customFormat="false" ht="15" hidden="false" customHeight="false" outlineLevel="0" collapsed="false">
      <c r="A47" s="0" t="n">
        <v>1993</v>
      </c>
      <c r="B47" s="0" t="s">
        <v>49</v>
      </c>
      <c r="C47" s="0" t="n">
        <v>25773.95</v>
      </c>
      <c r="D47" s="0" t="n">
        <v>18862.232</v>
      </c>
      <c r="E47" s="24" t="n">
        <f aca="false">D47/F47</f>
        <v>0.422577181892484</v>
      </c>
      <c r="F47" s="0" t="n">
        <f aca="false">SUM(C47:D47)</f>
        <v>44636.182</v>
      </c>
    </row>
    <row r="48" customFormat="false" ht="15" hidden="false" customHeight="false" outlineLevel="0" collapsed="false">
      <c r="A48" s="0" t="n">
        <v>1993</v>
      </c>
      <c r="B48" s="0" t="s">
        <v>60</v>
      </c>
      <c r="C48" s="0" t="n">
        <v>28390.456</v>
      </c>
      <c r="D48" s="0" t="n">
        <v>18937.083</v>
      </c>
      <c r="E48" s="24" t="n">
        <f aca="false">D48/F48</f>
        <v>0.400128200200733</v>
      </c>
      <c r="F48" s="0" t="n">
        <f aca="false">SUM(C48:D48)</f>
        <v>47327.539</v>
      </c>
    </row>
    <row r="49" customFormat="false" ht="15" hidden="false" customHeight="false" outlineLevel="0" collapsed="false">
      <c r="A49" s="0" t="n">
        <v>1993</v>
      </c>
      <c r="B49" s="0" t="s">
        <v>57</v>
      </c>
      <c r="C49" s="0" t="n">
        <v>19437.814</v>
      </c>
      <c r="D49" s="0" t="n">
        <v>26954.061</v>
      </c>
      <c r="E49" s="24" t="n">
        <f aca="false">D49/F49</f>
        <v>0.581008226117181</v>
      </c>
      <c r="F49" s="0" t="n">
        <f aca="false">SUM(C49:D49)</f>
        <v>46391.875</v>
      </c>
    </row>
    <row r="50" customFormat="false" ht="15" hidden="false" customHeight="false" outlineLevel="0" collapsed="false">
      <c r="A50" s="0" t="n">
        <v>1994</v>
      </c>
      <c r="B50" s="0" t="s">
        <v>54</v>
      </c>
      <c r="C50" s="0" t="n">
        <v>27168.453</v>
      </c>
      <c r="D50" s="0" t="n">
        <v>25806.636</v>
      </c>
      <c r="E50" s="24" t="n">
        <f aca="false">D50/F50</f>
        <v>0.487146628484192</v>
      </c>
      <c r="F50" s="0" t="n">
        <f aca="false">SUM(C50:D50)</f>
        <v>52975.089</v>
      </c>
    </row>
    <row r="51" customFormat="false" ht="15" hidden="false" customHeight="false" outlineLevel="0" collapsed="false">
      <c r="A51" s="0" t="n">
        <v>1994</v>
      </c>
      <c r="B51" s="0" t="s">
        <v>53</v>
      </c>
      <c r="C51" s="0" t="n">
        <v>26224.905</v>
      </c>
      <c r="D51" s="0" t="n">
        <v>23551.926</v>
      </c>
      <c r="E51" s="24" t="n">
        <f aca="false">D51/F51</f>
        <v>0.473150369897995</v>
      </c>
      <c r="F51" s="0" t="n">
        <f aca="false">SUM(C51:D51)</f>
        <v>49776.831</v>
      </c>
    </row>
    <row r="52" customFormat="false" ht="15" hidden="false" customHeight="false" outlineLevel="0" collapsed="false">
      <c r="A52" s="0" t="n">
        <v>1994</v>
      </c>
      <c r="B52" s="0" t="s">
        <v>52</v>
      </c>
      <c r="C52" s="0" t="n">
        <v>24755.828</v>
      </c>
      <c r="D52" s="0" t="n">
        <v>25651.983</v>
      </c>
      <c r="E52" s="24" t="n">
        <f aca="false">D52/F52</f>
        <v>0.508889048961083</v>
      </c>
      <c r="F52" s="0" t="n">
        <f aca="false">SUM(C52:D52)</f>
        <v>50407.811</v>
      </c>
    </row>
    <row r="53" customFormat="false" ht="15" hidden="false" customHeight="false" outlineLevel="0" collapsed="false">
      <c r="A53" s="0" t="n">
        <v>1994</v>
      </c>
      <c r="B53" s="0" t="s">
        <v>59</v>
      </c>
      <c r="C53" s="0" t="n">
        <v>29906.929</v>
      </c>
      <c r="D53" s="0" t="n">
        <v>26336.312</v>
      </c>
      <c r="E53" s="24" t="n">
        <f aca="false">D53/F53</f>
        <v>0.468257368027564</v>
      </c>
      <c r="F53" s="0" t="n">
        <f aca="false">SUM(C53:D53)</f>
        <v>56243.241</v>
      </c>
    </row>
    <row r="54" customFormat="false" ht="15" hidden="false" customHeight="false" outlineLevel="0" collapsed="false">
      <c r="A54" s="0" t="n">
        <v>1994</v>
      </c>
      <c r="B54" s="0" t="s">
        <v>60</v>
      </c>
      <c r="C54" s="0" t="n">
        <v>31389.403</v>
      </c>
      <c r="D54" s="0" t="n">
        <v>22163</v>
      </c>
      <c r="E54" s="24" t="n">
        <f aca="false">D54/F54</f>
        <v>0.413856311919374</v>
      </c>
      <c r="F54" s="0" t="n">
        <f aca="false">SUM(C54:D54)</f>
        <v>53552.403</v>
      </c>
    </row>
    <row r="55" customFormat="false" ht="15" hidden="false" customHeight="false" outlineLevel="0" collapsed="false">
      <c r="A55" s="0" t="n">
        <v>1994</v>
      </c>
      <c r="B55" s="0" t="s">
        <v>49</v>
      </c>
      <c r="C55" s="0" t="n">
        <v>29681.366</v>
      </c>
      <c r="D55" s="0" t="n">
        <v>23509.536</v>
      </c>
      <c r="E55" s="24" t="n">
        <f aca="false">D55/F55</f>
        <v>0.441984157365859</v>
      </c>
      <c r="F55" s="0" t="n">
        <f aca="false">SUM(C55:D55)</f>
        <v>53190.902</v>
      </c>
    </row>
    <row r="56" customFormat="false" ht="15" hidden="false" customHeight="false" outlineLevel="0" collapsed="false">
      <c r="A56" s="0" t="n">
        <v>1994</v>
      </c>
      <c r="B56" s="0" t="s">
        <v>50</v>
      </c>
      <c r="C56" s="0" t="n">
        <v>27623.829</v>
      </c>
      <c r="D56" s="0" t="n">
        <v>25219.977</v>
      </c>
      <c r="E56" s="24" t="n">
        <f aca="false">D56/F56</f>
        <v>0.477255120496052</v>
      </c>
      <c r="F56" s="0" t="n">
        <f aca="false">SUM(C56:D56)</f>
        <v>52843.806</v>
      </c>
    </row>
    <row r="57" customFormat="false" ht="15" hidden="false" customHeight="false" outlineLevel="0" collapsed="false">
      <c r="A57" s="0" t="n">
        <v>1994</v>
      </c>
      <c r="B57" s="0" t="s">
        <v>51</v>
      </c>
      <c r="C57" s="0" t="n">
        <v>29852.39</v>
      </c>
      <c r="D57" s="0" t="n">
        <v>23345.289</v>
      </c>
      <c r="E57" s="24" t="n">
        <f aca="false">D57/F57</f>
        <v>0.438840367452873</v>
      </c>
      <c r="F57" s="0" t="n">
        <f aca="false">SUM(C57:D57)</f>
        <v>53197.679</v>
      </c>
    </row>
    <row r="58" customFormat="false" ht="15" hidden="false" customHeight="false" outlineLevel="0" collapsed="false">
      <c r="A58" s="0" t="n">
        <v>1994</v>
      </c>
      <c r="B58" s="0" t="s">
        <v>55</v>
      </c>
      <c r="C58" s="0" t="n">
        <v>25266.57</v>
      </c>
      <c r="D58" s="0" t="n">
        <v>20717.638</v>
      </c>
      <c r="E58" s="24" t="n">
        <f aca="false">D58/F58</f>
        <v>0.450538106473422</v>
      </c>
      <c r="F58" s="0" t="n">
        <f aca="false">SUM(C58:D58)</f>
        <v>45984.208</v>
      </c>
    </row>
    <row r="59" customFormat="false" ht="15" hidden="false" customHeight="false" outlineLevel="0" collapsed="false">
      <c r="A59" s="0" t="n">
        <v>1994</v>
      </c>
      <c r="B59" s="0" t="s">
        <v>56</v>
      </c>
      <c r="C59" s="0" t="n">
        <v>28380.034</v>
      </c>
      <c r="D59" s="0" t="n">
        <v>19013.904</v>
      </c>
      <c r="E59" s="24" t="n">
        <f aca="false">D59/F59</f>
        <v>0.401188523308614</v>
      </c>
      <c r="F59" s="0" t="n">
        <f aca="false">SUM(C59:D59)</f>
        <v>47393.938</v>
      </c>
    </row>
    <row r="60" customFormat="false" ht="15" hidden="false" customHeight="false" outlineLevel="0" collapsed="false">
      <c r="A60" s="0" t="n">
        <v>1994</v>
      </c>
      <c r="B60" s="0" t="s">
        <v>57</v>
      </c>
      <c r="C60" s="0" t="n">
        <v>21934.472</v>
      </c>
      <c r="D60" s="0" t="n">
        <v>24709.24</v>
      </c>
      <c r="E60" s="24" t="n">
        <f aca="false">D60/F60</f>
        <v>0.529744287933173</v>
      </c>
      <c r="F60" s="0" t="n">
        <f aca="false">SUM(C60:D60)</f>
        <v>46643.712</v>
      </c>
    </row>
    <row r="61" customFormat="false" ht="15" hidden="false" customHeight="false" outlineLevel="0" collapsed="false">
      <c r="A61" s="0" t="n">
        <v>1994</v>
      </c>
      <c r="B61" s="0" t="s">
        <v>58</v>
      </c>
      <c r="C61" s="0" t="n">
        <v>21081.069</v>
      </c>
      <c r="D61" s="0" t="n">
        <v>26260.811</v>
      </c>
      <c r="E61" s="24" t="n">
        <f aca="false">D61/F61</f>
        <v>0.554705706659727</v>
      </c>
      <c r="F61" s="0" t="n">
        <f aca="false">SUM(C61:D61)</f>
        <v>47341.88</v>
      </c>
    </row>
    <row r="62" customFormat="false" ht="15" hidden="false" customHeight="false" outlineLevel="0" collapsed="false">
      <c r="A62" s="0" t="n">
        <v>1995</v>
      </c>
      <c r="B62" s="0" t="s">
        <v>59</v>
      </c>
      <c r="C62" s="0" t="n">
        <v>34476.943</v>
      </c>
      <c r="D62" s="0" t="n">
        <v>22384.534</v>
      </c>
      <c r="E62" s="24" t="n">
        <f aca="false">D62/F62</f>
        <v>0.393667825406646</v>
      </c>
      <c r="F62" s="0" t="n">
        <f aca="false">SUM(C62:D62)</f>
        <v>56861.477</v>
      </c>
    </row>
    <row r="63" customFormat="false" ht="15" hidden="false" customHeight="false" outlineLevel="0" collapsed="false">
      <c r="A63" s="0" t="n">
        <v>1995</v>
      </c>
      <c r="B63" s="0" t="s">
        <v>60</v>
      </c>
      <c r="C63" s="0" t="n">
        <v>36821.81</v>
      </c>
      <c r="D63" s="0" t="n">
        <v>26201.495</v>
      </c>
      <c r="E63" s="24" t="n">
        <f aca="false">D63/F63</f>
        <v>0.415742954134189</v>
      </c>
      <c r="F63" s="0" t="n">
        <f aca="false">SUM(C63:D63)</f>
        <v>63023.305</v>
      </c>
    </row>
    <row r="64" customFormat="false" ht="15" hidden="false" customHeight="false" outlineLevel="0" collapsed="false">
      <c r="A64" s="0" t="n">
        <v>1995</v>
      </c>
      <c r="B64" s="0" t="s">
        <v>49</v>
      </c>
      <c r="C64" s="0" t="n">
        <v>35104.546</v>
      </c>
      <c r="D64" s="0" t="n">
        <v>22948.625</v>
      </c>
      <c r="E64" s="24" t="n">
        <f aca="false">D64/F64</f>
        <v>0.395303557147636</v>
      </c>
      <c r="F64" s="0" t="n">
        <f aca="false">SUM(C64:D64)</f>
        <v>58053.171</v>
      </c>
    </row>
    <row r="65" customFormat="false" ht="15" hidden="false" customHeight="false" outlineLevel="0" collapsed="false">
      <c r="A65" s="0" t="n">
        <v>1995</v>
      </c>
      <c r="B65" s="0" t="s">
        <v>50</v>
      </c>
      <c r="C65" s="0" t="n">
        <v>34076.178</v>
      </c>
      <c r="D65" s="0" t="n">
        <v>25902.639</v>
      </c>
      <c r="E65" s="24" t="n">
        <f aca="false">D65/F65</f>
        <v>0.43186311927426</v>
      </c>
      <c r="F65" s="0" t="n">
        <f aca="false">SUM(C65:D65)</f>
        <v>59978.817</v>
      </c>
    </row>
    <row r="66" customFormat="false" ht="15" hidden="false" customHeight="false" outlineLevel="0" collapsed="false">
      <c r="A66" s="0" t="n">
        <v>1995</v>
      </c>
      <c r="B66" s="0" t="s">
        <v>52</v>
      </c>
      <c r="C66" s="0" t="n">
        <v>29973.246</v>
      </c>
      <c r="D66" s="0" t="n">
        <v>21957.348</v>
      </c>
      <c r="E66" s="24" t="n">
        <f aca="false">D66/F66</f>
        <v>0.422821044565753</v>
      </c>
      <c r="F66" s="0" t="n">
        <f aca="false">SUM(C66:D66)</f>
        <v>51930.594</v>
      </c>
    </row>
    <row r="67" customFormat="false" ht="15" hidden="false" customHeight="false" outlineLevel="0" collapsed="false">
      <c r="A67" s="0" t="n">
        <v>1995</v>
      </c>
      <c r="B67" s="0" t="s">
        <v>53</v>
      </c>
      <c r="C67" s="0" t="n">
        <v>34951.136</v>
      </c>
      <c r="D67" s="0" t="n">
        <v>20778.562</v>
      </c>
      <c r="E67" s="24" t="n">
        <f aca="false">D67/F67</f>
        <v>0.372845408205873</v>
      </c>
      <c r="F67" s="0" t="n">
        <f aca="false">SUM(C67:D67)</f>
        <v>55729.698</v>
      </c>
    </row>
    <row r="68" customFormat="false" ht="15" hidden="false" customHeight="false" outlineLevel="0" collapsed="false">
      <c r="A68" s="0" t="n">
        <v>1995</v>
      </c>
      <c r="B68" s="0" t="s">
        <v>54</v>
      </c>
      <c r="C68" s="0" t="n">
        <v>32334.019</v>
      </c>
      <c r="D68" s="0" t="n">
        <v>24752.666</v>
      </c>
      <c r="E68" s="24" t="n">
        <f aca="false">D68/F68</f>
        <v>0.433597887143035</v>
      </c>
      <c r="F68" s="0" t="n">
        <f aca="false">SUM(C68:D68)</f>
        <v>57086.685</v>
      </c>
    </row>
    <row r="69" customFormat="false" ht="15" hidden="false" customHeight="false" outlineLevel="0" collapsed="false">
      <c r="A69" s="0" t="n">
        <v>1995</v>
      </c>
      <c r="B69" s="0" t="s">
        <v>55</v>
      </c>
      <c r="C69" s="0" t="n">
        <v>29232.986</v>
      </c>
      <c r="D69" s="0" t="n">
        <v>25504.845</v>
      </c>
      <c r="E69" s="24" t="n">
        <f aca="false">D69/F69</f>
        <v>0.465945481106111</v>
      </c>
      <c r="F69" s="0" t="n">
        <f aca="false">SUM(C69:D69)</f>
        <v>54737.831</v>
      </c>
    </row>
    <row r="70" customFormat="false" ht="15" hidden="false" customHeight="false" outlineLevel="0" collapsed="false">
      <c r="A70" s="0" t="n">
        <v>1995</v>
      </c>
      <c r="B70" s="0" t="s">
        <v>56</v>
      </c>
      <c r="C70" s="0" t="n">
        <v>32633.69</v>
      </c>
      <c r="D70" s="0" t="n">
        <v>26044.956</v>
      </c>
      <c r="E70" s="24" t="n">
        <f aca="false">D70/F70</f>
        <v>0.443857480965052</v>
      </c>
      <c r="F70" s="0" t="n">
        <f aca="false">SUM(C70:D70)</f>
        <v>58678.646</v>
      </c>
    </row>
    <row r="71" customFormat="false" ht="15" hidden="false" customHeight="false" outlineLevel="0" collapsed="false">
      <c r="A71" s="0" t="n">
        <v>1995</v>
      </c>
      <c r="B71" s="0" t="s">
        <v>57</v>
      </c>
      <c r="C71" s="0" t="n">
        <v>27344.152</v>
      </c>
      <c r="D71" s="0" t="n">
        <v>24443.17</v>
      </c>
      <c r="E71" s="24" t="n">
        <f aca="false">D71/F71</f>
        <v>0.471991388162531</v>
      </c>
      <c r="F71" s="0" t="n">
        <f aca="false">SUM(C71:D71)</f>
        <v>51787.322</v>
      </c>
    </row>
    <row r="72" customFormat="false" ht="15" hidden="false" customHeight="false" outlineLevel="0" collapsed="false">
      <c r="A72" s="0" t="n">
        <v>1995</v>
      </c>
      <c r="B72" s="0" t="s">
        <v>58</v>
      </c>
      <c r="C72" s="0" t="n">
        <v>25930.626</v>
      </c>
      <c r="D72" s="0" t="n">
        <v>23539.93</v>
      </c>
      <c r="E72" s="24" t="n">
        <f aca="false">D72/F72</f>
        <v>0.475837182828509</v>
      </c>
      <c r="F72" s="0" t="n">
        <f aca="false">SUM(C72:D72)</f>
        <v>49470.556</v>
      </c>
    </row>
    <row r="73" customFormat="false" ht="15" hidden="false" customHeight="false" outlineLevel="0" collapsed="false">
      <c r="A73" s="0" t="n">
        <v>1995</v>
      </c>
      <c r="B73" s="0" t="s">
        <v>51</v>
      </c>
      <c r="C73" s="0" t="n">
        <v>33735.123</v>
      </c>
      <c r="D73" s="0" t="n">
        <v>24112.395</v>
      </c>
      <c r="E73" s="24" t="n">
        <f aca="false">D73/F73</f>
        <v>0.416826785895983</v>
      </c>
      <c r="F73" s="0" t="n">
        <f aca="false">SUM(C73:D73)</f>
        <v>57847.518</v>
      </c>
    </row>
    <row r="74" customFormat="false" ht="15" hidden="false" customHeight="false" outlineLevel="0" collapsed="false">
      <c r="A74" s="0" t="n">
        <v>1996</v>
      </c>
      <c r="B74" s="0" t="s">
        <v>60</v>
      </c>
      <c r="C74" s="0" t="n">
        <v>42132.325</v>
      </c>
      <c r="D74" s="0" t="n">
        <v>22406.845</v>
      </c>
      <c r="E74" s="24" t="n">
        <f aca="false">D74/F74</f>
        <v>0.347182106618353</v>
      </c>
      <c r="F74" s="0" t="n">
        <f aca="false">SUM(C74:D74)</f>
        <v>64539.17</v>
      </c>
    </row>
    <row r="75" customFormat="false" ht="15" hidden="false" customHeight="false" outlineLevel="0" collapsed="false">
      <c r="A75" s="0" t="n">
        <v>1996</v>
      </c>
      <c r="B75" s="0" t="s">
        <v>49</v>
      </c>
      <c r="C75" s="0" t="n">
        <v>39854.81</v>
      </c>
      <c r="D75" s="0" t="n">
        <v>22650.319</v>
      </c>
      <c r="E75" s="24" t="n">
        <f aca="false">D75/F75</f>
        <v>0.362375366027962</v>
      </c>
      <c r="F75" s="0" t="n">
        <f aca="false">SUM(C75:D75)</f>
        <v>62505.129</v>
      </c>
    </row>
    <row r="76" customFormat="false" ht="15" hidden="false" customHeight="false" outlineLevel="0" collapsed="false">
      <c r="A76" s="0" t="n">
        <v>1996</v>
      </c>
      <c r="B76" s="0" t="s">
        <v>51</v>
      </c>
      <c r="C76" s="0" t="n">
        <v>38189.974</v>
      </c>
      <c r="D76" s="0" t="n">
        <v>24812.735</v>
      </c>
      <c r="E76" s="24" t="n">
        <f aca="false">D76/F76</f>
        <v>0.393836001559869</v>
      </c>
      <c r="F76" s="0" t="n">
        <f aca="false">SUM(C76:D76)</f>
        <v>63002.709</v>
      </c>
    </row>
    <row r="77" customFormat="false" ht="15" hidden="false" customHeight="false" outlineLevel="0" collapsed="false">
      <c r="A77" s="0" t="n">
        <v>1996</v>
      </c>
      <c r="B77" s="0" t="s">
        <v>56</v>
      </c>
      <c r="C77" s="0" t="n">
        <v>37246.091</v>
      </c>
      <c r="D77" s="0" t="n">
        <v>23381.473</v>
      </c>
      <c r="E77" s="24" t="n">
        <f aca="false">D77/F77</f>
        <v>0.385657470915374</v>
      </c>
      <c r="F77" s="0" t="n">
        <f aca="false">SUM(C77:D77)</f>
        <v>60627.564</v>
      </c>
    </row>
    <row r="78" customFormat="false" ht="15" hidden="false" customHeight="false" outlineLevel="0" collapsed="false">
      <c r="A78" s="0" t="n">
        <v>1996</v>
      </c>
      <c r="B78" s="0" t="s">
        <v>55</v>
      </c>
      <c r="C78" s="0" t="n">
        <v>36979.038</v>
      </c>
      <c r="D78" s="0" t="n">
        <v>25054.465</v>
      </c>
      <c r="E78" s="24" t="n">
        <f aca="false">D78/F78</f>
        <v>0.40388602591087</v>
      </c>
      <c r="F78" s="0" t="n">
        <f aca="false">SUM(C78:D78)</f>
        <v>62033.503</v>
      </c>
    </row>
    <row r="79" customFormat="false" ht="15" hidden="false" customHeight="false" outlineLevel="0" collapsed="false">
      <c r="A79" s="0" t="n">
        <v>1996</v>
      </c>
      <c r="B79" s="0" t="s">
        <v>54</v>
      </c>
      <c r="C79" s="0" t="n">
        <v>39929.13</v>
      </c>
      <c r="D79" s="0" t="n">
        <v>21966.551</v>
      </c>
      <c r="E79" s="24" t="n">
        <f aca="false">D79/F79</f>
        <v>0.354896345675557</v>
      </c>
      <c r="F79" s="0" t="n">
        <f aca="false">SUM(C79:D79)</f>
        <v>61895.681</v>
      </c>
    </row>
    <row r="80" customFormat="false" ht="15" hidden="false" customHeight="false" outlineLevel="0" collapsed="false">
      <c r="A80" s="0" t="n">
        <v>1996</v>
      </c>
      <c r="B80" s="0" t="s">
        <v>53</v>
      </c>
      <c r="C80" s="0" t="n">
        <v>35325.116</v>
      </c>
      <c r="D80" s="0" t="n">
        <v>23583.427</v>
      </c>
      <c r="E80" s="24" t="n">
        <f aca="false">D80/F80</f>
        <v>0.400339675690163</v>
      </c>
      <c r="F80" s="0" t="n">
        <f aca="false">SUM(C80:D80)</f>
        <v>58908.543</v>
      </c>
    </row>
    <row r="81" customFormat="false" ht="15" hidden="false" customHeight="false" outlineLevel="0" collapsed="false">
      <c r="A81" s="0" t="n">
        <v>1996</v>
      </c>
      <c r="B81" s="0" t="s">
        <v>59</v>
      </c>
      <c r="C81" s="0" t="n">
        <v>40087.969</v>
      </c>
      <c r="D81" s="0" t="n">
        <v>20621.41</v>
      </c>
      <c r="E81" s="24" t="n">
        <f aca="false">D81/F81</f>
        <v>0.339674204211511</v>
      </c>
      <c r="F81" s="0" t="n">
        <f aca="false">SUM(C81:D81)</f>
        <v>60709.379</v>
      </c>
    </row>
    <row r="82" customFormat="false" ht="15" hidden="false" customHeight="false" outlineLevel="0" collapsed="false">
      <c r="A82" s="0" t="n">
        <v>1996</v>
      </c>
      <c r="B82" s="0" t="s">
        <v>50</v>
      </c>
      <c r="C82" s="0" t="n">
        <v>41177.267</v>
      </c>
      <c r="D82" s="0" t="n">
        <v>23321.195</v>
      </c>
      <c r="E82" s="24" t="n">
        <f aca="false">D82/F82</f>
        <v>0.361577536531026</v>
      </c>
      <c r="F82" s="0" t="n">
        <f aca="false">SUM(C82:D82)</f>
        <v>64498.462</v>
      </c>
    </row>
    <row r="83" customFormat="false" ht="15" hidden="false" customHeight="false" outlineLevel="0" collapsed="false">
      <c r="A83" s="0" t="n">
        <v>1996</v>
      </c>
      <c r="B83" s="0" t="s">
        <v>52</v>
      </c>
      <c r="C83" s="0" t="n">
        <v>37762.986</v>
      </c>
      <c r="D83" s="0" t="n">
        <v>23739.048</v>
      </c>
      <c r="E83" s="24" t="n">
        <f aca="false">D83/F83</f>
        <v>0.385988014640296</v>
      </c>
      <c r="F83" s="0" t="n">
        <f aca="false">SUM(C83:D83)</f>
        <v>61502.034</v>
      </c>
    </row>
    <row r="84" customFormat="false" ht="15" hidden="false" customHeight="false" outlineLevel="0" collapsed="false">
      <c r="A84" s="0" t="n">
        <v>1996</v>
      </c>
      <c r="B84" s="0" t="s">
        <v>57</v>
      </c>
      <c r="C84" s="0" t="n">
        <v>33188.072</v>
      </c>
      <c r="D84" s="0" t="n">
        <v>23747.398</v>
      </c>
      <c r="E84" s="24" t="n">
        <f aca="false">D84/F84</f>
        <v>0.417093210963219</v>
      </c>
      <c r="F84" s="0" t="n">
        <f aca="false">SUM(C84:D84)</f>
        <v>56935.47</v>
      </c>
    </row>
    <row r="85" customFormat="false" ht="15" hidden="false" customHeight="false" outlineLevel="0" collapsed="false">
      <c r="A85" s="0" t="n">
        <v>1996</v>
      </c>
      <c r="B85" s="0" t="s">
        <v>58</v>
      </c>
      <c r="C85" s="0" t="n">
        <v>30349.286</v>
      </c>
      <c r="D85" s="0" t="n">
        <v>22389.033</v>
      </c>
      <c r="E85" s="24" t="n">
        <f aca="false">D85/F85</f>
        <v>0.424530652939469</v>
      </c>
      <c r="F85" s="0" t="n">
        <f aca="false">SUM(C85:D85)</f>
        <v>52738.319</v>
      </c>
    </row>
    <row r="86" customFormat="false" ht="15" hidden="false" customHeight="false" outlineLevel="0" collapsed="false">
      <c r="A86" s="0" t="n">
        <v>1997</v>
      </c>
      <c r="B86" s="0" t="s">
        <v>60</v>
      </c>
      <c r="C86" s="0" t="n">
        <v>48513.57</v>
      </c>
      <c r="D86" s="0" t="n">
        <v>20407.98</v>
      </c>
      <c r="E86" s="24" t="n">
        <f aca="false">D86/F86</f>
        <v>0.296104484011169</v>
      </c>
      <c r="F86" s="0" t="n">
        <f aca="false">SUM(C86:D86)</f>
        <v>68921.55</v>
      </c>
    </row>
    <row r="87" customFormat="false" ht="15" hidden="false" customHeight="false" outlineLevel="0" collapsed="false">
      <c r="A87" s="0" t="n">
        <v>1997</v>
      </c>
      <c r="B87" s="0" t="s">
        <v>49</v>
      </c>
      <c r="C87" s="0" t="n">
        <v>42763.062</v>
      </c>
      <c r="D87" s="0" t="n">
        <v>17517.066</v>
      </c>
      <c r="E87" s="24" t="n">
        <f aca="false">D87/F87</f>
        <v>0.290594372991378</v>
      </c>
      <c r="F87" s="0" t="n">
        <f aca="false">SUM(C87:D87)</f>
        <v>60280.128</v>
      </c>
    </row>
    <row r="88" customFormat="false" ht="15" hidden="false" customHeight="false" outlineLevel="0" collapsed="false">
      <c r="A88" s="0" t="n">
        <v>1997</v>
      </c>
      <c r="B88" s="0" t="s">
        <v>50</v>
      </c>
      <c r="C88" s="0" t="n">
        <v>48030.362</v>
      </c>
      <c r="D88" s="0" t="n">
        <v>17745.927</v>
      </c>
      <c r="E88" s="24" t="n">
        <f aca="false">D88/F88</f>
        <v>0.269792158691105</v>
      </c>
      <c r="F88" s="0" t="n">
        <f aca="false">SUM(C88:D88)</f>
        <v>65776.289</v>
      </c>
    </row>
    <row r="89" customFormat="false" ht="15" hidden="false" customHeight="false" outlineLevel="0" collapsed="false">
      <c r="A89" s="0" t="n">
        <v>1997</v>
      </c>
      <c r="B89" s="0" t="s">
        <v>51</v>
      </c>
      <c r="C89" s="0" t="n">
        <v>44821.19</v>
      </c>
      <c r="D89" s="0" t="n">
        <v>20184.283</v>
      </c>
      <c r="E89" s="24" t="n">
        <f aca="false">D89/F89</f>
        <v>0.310501286560902</v>
      </c>
      <c r="F89" s="0" t="n">
        <f aca="false">SUM(C89:D89)</f>
        <v>65005.473</v>
      </c>
    </row>
    <row r="90" customFormat="false" ht="15" hidden="false" customHeight="false" outlineLevel="0" collapsed="false">
      <c r="A90" s="0" t="n">
        <v>1997</v>
      </c>
      <c r="B90" s="0" t="s">
        <v>59</v>
      </c>
      <c r="C90" s="0" t="n">
        <v>23913.706</v>
      </c>
      <c r="D90" s="0" t="n">
        <v>19195.541</v>
      </c>
      <c r="E90" s="24" t="n">
        <f aca="false">D90/F90</f>
        <v>0.44527664795444</v>
      </c>
      <c r="F90" s="0" t="n">
        <f aca="false">SUM(C90:D90)</f>
        <v>43109.247</v>
      </c>
    </row>
    <row r="91" customFormat="false" ht="15" hidden="false" customHeight="false" outlineLevel="0" collapsed="false">
      <c r="A91" s="0" t="n">
        <v>1997</v>
      </c>
      <c r="B91" s="0" t="s">
        <v>52</v>
      </c>
      <c r="C91" s="0" t="n">
        <v>42791.758</v>
      </c>
      <c r="D91" s="0" t="n">
        <v>19454.242</v>
      </c>
      <c r="E91" s="24" t="n">
        <f aca="false">D91/F91</f>
        <v>0.312538026539858</v>
      </c>
      <c r="F91" s="0" t="n">
        <f aca="false">SUM(C91:D91)</f>
        <v>62246</v>
      </c>
    </row>
    <row r="92" customFormat="false" ht="15" hidden="false" customHeight="false" outlineLevel="0" collapsed="false">
      <c r="A92" s="0" t="n">
        <v>1997</v>
      </c>
      <c r="B92" s="0" t="s">
        <v>53</v>
      </c>
      <c r="C92" s="0" t="n">
        <v>41349.399</v>
      </c>
      <c r="D92" s="0" t="n">
        <v>20691.943</v>
      </c>
      <c r="E92" s="24" t="n">
        <f aca="false">D92/F92</f>
        <v>0.333518623758977</v>
      </c>
      <c r="F92" s="0" t="n">
        <f aca="false">SUM(C92:D92)</f>
        <v>62041.342</v>
      </c>
    </row>
    <row r="93" customFormat="false" ht="15" hidden="false" customHeight="false" outlineLevel="0" collapsed="false">
      <c r="A93" s="0" t="n">
        <v>1997</v>
      </c>
      <c r="B93" s="0" t="s">
        <v>54</v>
      </c>
      <c r="C93" s="0" t="n">
        <v>42159.013</v>
      </c>
      <c r="D93" s="0" t="n">
        <v>19988.564</v>
      </c>
      <c r="E93" s="24" t="n">
        <f aca="false">D93/F93</f>
        <v>0.321630624473099</v>
      </c>
      <c r="F93" s="0" t="n">
        <f aca="false">SUM(C93:D93)</f>
        <v>62147.577</v>
      </c>
    </row>
    <row r="94" customFormat="false" ht="15" hidden="false" customHeight="false" outlineLevel="0" collapsed="false">
      <c r="A94" s="0" t="n">
        <v>1997</v>
      </c>
      <c r="B94" s="0" t="s">
        <v>55</v>
      </c>
      <c r="C94" s="0" t="n">
        <v>41696.71</v>
      </c>
      <c r="D94" s="0" t="n">
        <v>19282.422</v>
      </c>
      <c r="E94" s="24" t="n">
        <f aca="false">D94/F94</f>
        <v>0.316213454793027</v>
      </c>
      <c r="F94" s="0" t="n">
        <f aca="false">SUM(C94:D94)</f>
        <v>60979.132</v>
      </c>
    </row>
    <row r="95" customFormat="false" ht="15" hidden="false" customHeight="false" outlineLevel="0" collapsed="false">
      <c r="A95" s="0" t="n">
        <v>1997</v>
      </c>
      <c r="B95" s="0" t="s">
        <v>56</v>
      </c>
      <c r="C95" s="0" t="n">
        <v>39641.028</v>
      </c>
      <c r="D95" s="0" t="n">
        <v>21063.313</v>
      </c>
      <c r="E95" s="24" t="n">
        <f aca="false">D95/F95</f>
        <v>0.34698198931111</v>
      </c>
      <c r="F95" s="0" t="n">
        <f aca="false">SUM(C95:D95)</f>
        <v>60704.341</v>
      </c>
    </row>
    <row r="96" customFormat="false" ht="15" hidden="false" customHeight="false" outlineLevel="0" collapsed="false">
      <c r="A96" s="0" t="n">
        <v>1997</v>
      </c>
      <c r="B96" s="0" t="s">
        <v>57</v>
      </c>
      <c r="C96" s="0" t="n">
        <v>34302.251</v>
      </c>
      <c r="D96" s="0" t="n">
        <v>20688.623</v>
      </c>
      <c r="E96" s="24" t="n">
        <f aca="false">D96/F96</f>
        <v>0.376219206845121</v>
      </c>
      <c r="F96" s="0" t="n">
        <f aca="false">SUM(C96:D96)</f>
        <v>54990.874</v>
      </c>
    </row>
    <row r="97" customFormat="false" ht="15" hidden="false" customHeight="false" outlineLevel="0" collapsed="false">
      <c r="A97" s="0" t="n">
        <v>1997</v>
      </c>
      <c r="B97" s="0" t="s">
        <v>58</v>
      </c>
      <c r="C97" s="0" t="n">
        <v>34505.469</v>
      </c>
      <c r="D97" s="0" t="n">
        <v>19558.623</v>
      </c>
      <c r="E97" s="24" t="n">
        <f aca="false">D97/F97</f>
        <v>0.361767344580577</v>
      </c>
      <c r="F97" s="0" t="n">
        <f aca="false">SUM(C97:D97)</f>
        <v>54064.092</v>
      </c>
    </row>
    <row r="98" customFormat="false" ht="15" hidden="false" customHeight="false" outlineLevel="0" collapsed="false">
      <c r="A98" s="0" t="n">
        <v>1998</v>
      </c>
      <c r="B98" s="0" t="s">
        <v>50</v>
      </c>
      <c r="C98" s="0" t="n">
        <v>47355.064</v>
      </c>
      <c r="D98" s="0" t="n">
        <v>16036.34</v>
      </c>
      <c r="E98" s="24" t="n">
        <f aca="false">D98/F98</f>
        <v>0.252973415764699</v>
      </c>
      <c r="F98" s="0" t="n">
        <f aca="false">SUM(C98:D98)</f>
        <v>63391.404</v>
      </c>
    </row>
    <row r="99" customFormat="false" ht="15" hidden="false" customHeight="false" outlineLevel="0" collapsed="false">
      <c r="A99" s="0" t="n">
        <v>1998</v>
      </c>
      <c r="B99" s="0" t="s">
        <v>49</v>
      </c>
      <c r="C99" s="0" t="n">
        <v>41994.54</v>
      </c>
      <c r="D99" s="0" t="n">
        <v>16035.506</v>
      </c>
      <c r="E99" s="24" t="n">
        <f aca="false">D99/F99</f>
        <v>0.276331092344817</v>
      </c>
      <c r="F99" s="0" t="n">
        <f aca="false">SUM(C99:D99)</f>
        <v>58030.046</v>
      </c>
    </row>
    <row r="100" customFormat="false" ht="15" hidden="false" customHeight="false" outlineLevel="0" collapsed="false">
      <c r="A100" s="0" t="n">
        <v>1998</v>
      </c>
      <c r="B100" s="0" t="s">
        <v>51</v>
      </c>
      <c r="C100" s="0" t="n">
        <v>43791.9</v>
      </c>
      <c r="D100" s="0" t="n">
        <v>16701.747</v>
      </c>
      <c r="E100" s="24" t="n">
        <f aca="false">D100/F100</f>
        <v>0.276090925713241</v>
      </c>
      <c r="F100" s="0" t="n">
        <f aca="false">SUM(C100:D100)</f>
        <v>60493.647</v>
      </c>
    </row>
    <row r="101" customFormat="false" ht="15" hidden="false" customHeight="false" outlineLevel="0" collapsed="false">
      <c r="A101" s="0" t="n">
        <v>1998</v>
      </c>
      <c r="B101" s="0" t="s">
        <v>53</v>
      </c>
      <c r="C101" s="0" t="n">
        <v>41378.18</v>
      </c>
      <c r="D101" s="0" t="n">
        <v>16570.131</v>
      </c>
      <c r="E101" s="24" t="n">
        <f aca="false">D101/F101</f>
        <v>0.285946746575582</v>
      </c>
      <c r="F101" s="0" t="n">
        <f aca="false">SUM(C101:D101)</f>
        <v>57948.311</v>
      </c>
    </row>
    <row r="102" customFormat="false" ht="15" hidden="false" customHeight="false" outlineLevel="0" collapsed="false">
      <c r="A102" s="0" t="n">
        <v>1998</v>
      </c>
      <c r="B102" s="0" t="s">
        <v>59</v>
      </c>
      <c r="C102" s="0" t="n">
        <v>43606.48</v>
      </c>
      <c r="D102" s="0" t="n">
        <v>16610.179</v>
      </c>
      <c r="E102" s="24" t="n">
        <f aca="false">D102/F102</f>
        <v>0.275840262077642</v>
      </c>
      <c r="F102" s="0" t="n">
        <f aca="false">SUM(C102:D102)</f>
        <v>60216.659</v>
      </c>
    </row>
    <row r="103" customFormat="false" ht="15" hidden="false" customHeight="false" outlineLevel="0" collapsed="false">
      <c r="A103" s="0" t="n">
        <v>1998</v>
      </c>
      <c r="B103" s="0" t="s">
        <v>52</v>
      </c>
      <c r="C103" s="0" t="n">
        <v>42053.751</v>
      </c>
      <c r="D103" s="0" t="n">
        <v>18033.932</v>
      </c>
      <c r="E103" s="24" t="n">
        <f aca="false">D103/F103</f>
        <v>0.300126932835803</v>
      </c>
      <c r="F103" s="0" t="n">
        <f aca="false">SUM(C103:D103)</f>
        <v>60087.683</v>
      </c>
    </row>
    <row r="104" customFormat="false" ht="15" hidden="false" customHeight="false" outlineLevel="0" collapsed="false">
      <c r="A104" s="0" t="n">
        <v>1998</v>
      </c>
      <c r="B104" s="0" t="s">
        <v>54</v>
      </c>
      <c r="C104" s="0" t="n">
        <v>41086.567</v>
      </c>
      <c r="D104" s="0" t="n">
        <v>17693.229</v>
      </c>
      <c r="E104" s="24" t="n">
        <f aca="false">D104/F104</f>
        <v>0.301008683323773</v>
      </c>
      <c r="F104" s="0" t="n">
        <f aca="false">SUM(C104:D104)</f>
        <v>58779.796</v>
      </c>
    </row>
    <row r="105" customFormat="false" ht="15" hidden="false" customHeight="false" outlineLevel="0" collapsed="false">
      <c r="A105" s="0" t="n">
        <v>1998</v>
      </c>
      <c r="B105" s="0" t="s">
        <v>55</v>
      </c>
      <c r="C105" s="0" t="n">
        <v>42516.198</v>
      </c>
      <c r="D105" s="0" t="n">
        <v>14022.626</v>
      </c>
      <c r="E105" s="24" t="n">
        <f aca="false">D105/F105</f>
        <v>0.248017645361708</v>
      </c>
      <c r="F105" s="0" t="n">
        <f aca="false">SUM(C105:D105)</f>
        <v>56538.824</v>
      </c>
    </row>
    <row r="106" customFormat="false" ht="15" hidden="false" customHeight="false" outlineLevel="0" collapsed="false">
      <c r="A106" s="0" t="n">
        <v>1998</v>
      </c>
      <c r="B106" s="0" t="s">
        <v>56</v>
      </c>
      <c r="C106" s="0" t="n">
        <v>42095.562</v>
      </c>
      <c r="D106" s="0" t="n">
        <v>15645.044</v>
      </c>
      <c r="E106" s="24" t="n">
        <f aca="false">D106/F106</f>
        <v>0.270953927986139</v>
      </c>
      <c r="F106" s="0" t="n">
        <f aca="false">SUM(C106:D106)</f>
        <v>57740.606</v>
      </c>
    </row>
    <row r="107" customFormat="false" ht="15" hidden="false" customHeight="false" outlineLevel="0" collapsed="false">
      <c r="A107" s="0" t="n">
        <v>1998</v>
      </c>
      <c r="B107" s="0" t="s">
        <v>57</v>
      </c>
      <c r="C107" s="0" t="n">
        <v>37455.5</v>
      </c>
      <c r="D107" s="0" t="n">
        <v>16881.251</v>
      </c>
      <c r="E107" s="24" t="n">
        <f aca="false">D107/F107</f>
        <v>0.310678328926954</v>
      </c>
      <c r="F107" s="0" t="n">
        <f aca="false">SUM(C107:D107)</f>
        <v>54336.751</v>
      </c>
    </row>
    <row r="108" customFormat="false" ht="15" hidden="false" customHeight="false" outlineLevel="0" collapsed="false">
      <c r="A108" s="0" t="n">
        <v>1998</v>
      </c>
      <c r="B108" s="0" t="s">
        <v>58</v>
      </c>
      <c r="C108" s="0" t="n">
        <v>37858.69</v>
      </c>
      <c r="D108" s="0" t="n">
        <v>14935.442</v>
      </c>
      <c r="E108" s="24" t="n">
        <f aca="false">D108/F108</f>
        <v>0.282899660136471</v>
      </c>
      <c r="F108" s="0" t="n">
        <f aca="false">SUM(C108:D108)</f>
        <v>52794.132</v>
      </c>
    </row>
    <row r="109" customFormat="false" ht="15" hidden="false" customHeight="false" outlineLevel="0" collapsed="false">
      <c r="A109" s="0" t="n">
        <v>1998</v>
      </c>
      <c r="B109" s="0" t="s">
        <v>60</v>
      </c>
      <c r="C109" s="0" t="n">
        <v>53234.486</v>
      </c>
      <c r="D109" s="0" t="n">
        <v>16754.891</v>
      </c>
      <c r="E109" s="24" t="n">
        <f aca="false">D109/F109</f>
        <v>0.239391915147352</v>
      </c>
      <c r="F109" s="0" t="n">
        <f aca="false">SUM(C109:D109)</f>
        <v>69989.377</v>
      </c>
    </row>
    <row r="110" customFormat="false" ht="15" hidden="false" customHeight="false" outlineLevel="0" collapsed="false">
      <c r="A110" s="0" t="n">
        <v>1999</v>
      </c>
      <c r="B110" s="0" t="s">
        <v>56</v>
      </c>
      <c r="C110" s="0" t="n">
        <v>52383.09</v>
      </c>
      <c r="D110" s="0" t="n">
        <v>13496.438</v>
      </c>
      <c r="E110" s="24" t="n">
        <f aca="false">D110/F110</f>
        <v>0.204865432551369</v>
      </c>
      <c r="F110" s="0" t="n">
        <f aca="false">SUM(C110:D110)</f>
        <v>65879.528</v>
      </c>
    </row>
    <row r="111" customFormat="false" ht="15" hidden="false" customHeight="false" outlineLevel="0" collapsed="false">
      <c r="A111" s="0" t="n">
        <v>1999</v>
      </c>
      <c r="B111" s="0" t="s">
        <v>50</v>
      </c>
      <c r="C111" s="0" t="n">
        <v>45829.08</v>
      </c>
      <c r="D111" s="0" t="n">
        <v>15831.749</v>
      </c>
      <c r="E111" s="24" t="n">
        <f aca="false">D111/F111</f>
        <v>0.256755370577324</v>
      </c>
      <c r="F111" s="0" t="n">
        <f aca="false">SUM(C111:D111)</f>
        <v>61660.829</v>
      </c>
    </row>
    <row r="112" customFormat="false" ht="15" hidden="false" customHeight="false" outlineLevel="0" collapsed="false">
      <c r="A112" s="0" t="n">
        <v>1999</v>
      </c>
      <c r="B112" s="0" t="s">
        <v>51</v>
      </c>
      <c r="C112" s="0" t="n">
        <v>47213.884</v>
      </c>
      <c r="D112" s="0" t="n">
        <v>13244.981</v>
      </c>
      <c r="E112" s="24" t="n">
        <f aca="false">D112/F112</f>
        <v>0.219074258175373</v>
      </c>
      <c r="F112" s="0" t="n">
        <f aca="false">SUM(C112:D112)</f>
        <v>60458.865</v>
      </c>
    </row>
    <row r="113" customFormat="false" ht="15" hidden="false" customHeight="false" outlineLevel="0" collapsed="false">
      <c r="A113" s="0" t="n">
        <v>1999</v>
      </c>
      <c r="B113" s="0" t="s">
        <v>59</v>
      </c>
      <c r="C113" s="0" t="n">
        <v>47566.686</v>
      </c>
      <c r="D113" s="0" t="n">
        <v>11960.141</v>
      </c>
      <c r="E113" s="24" t="n">
        <f aca="false">D113/F113</f>
        <v>0.200920183432589</v>
      </c>
      <c r="F113" s="0" t="n">
        <f aca="false">SUM(C113:D113)</f>
        <v>59526.827</v>
      </c>
    </row>
    <row r="114" customFormat="false" ht="15" hidden="false" customHeight="false" outlineLevel="0" collapsed="false">
      <c r="A114" s="0" t="n">
        <v>1999</v>
      </c>
      <c r="B114" s="0" t="s">
        <v>52</v>
      </c>
      <c r="C114" s="0" t="n">
        <v>47324.731</v>
      </c>
      <c r="D114" s="0" t="n">
        <v>14557.094</v>
      </c>
      <c r="E114" s="24" t="n">
        <f aca="false">D114/F114</f>
        <v>0.235240217947677</v>
      </c>
      <c r="F114" s="0" t="n">
        <f aca="false">SUM(C114:D114)</f>
        <v>61881.825</v>
      </c>
    </row>
    <row r="115" customFormat="false" ht="15" hidden="false" customHeight="false" outlineLevel="0" collapsed="false">
      <c r="A115" s="0" t="n">
        <v>1999</v>
      </c>
      <c r="B115" s="0" t="s">
        <v>53</v>
      </c>
      <c r="C115" s="0" t="n">
        <v>49042.54</v>
      </c>
      <c r="D115" s="0" t="n">
        <v>14252.172</v>
      </c>
      <c r="E115" s="24" t="n">
        <f aca="false">D115/F115</f>
        <v>0.225171606752867</v>
      </c>
      <c r="F115" s="0" t="n">
        <f aca="false">SUM(C115:D115)</f>
        <v>63294.712</v>
      </c>
    </row>
    <row r="116" customFormat="false" ht="15" hidden="false" customHeight="false" outlineLevel="0" collapsed="false">
      <c r="A116" s="0" t="n">
        <v>1999</v>
      </c>
      <c r="B116" s="0" t="s">
        <v>54</v>
      </c>
      <c r="C116" s="0" t="n">
        <v>47886.18</v>
      </c>
      <c r="D116" s="0" t="n">
        <v>14654.62</v>
      </c>
      <c r="E116" s="24" t="n">
        <f aca="false">D116/F116</f>
        <v>0.234320955280393</v>
      </c>
      <c r="F116" s="0" t="n">
        <f aca="false">SUM(C116:D116)</f>
        <v>62540.8</v>
      </c>
    </row>
    <row r="117" customFormat="false" ht="15" hidden="false" customHeight="false" outlineLevel="0" collapsed="false">
      <c r="A117" s="0" t="n">
        <v>1999</v>
      </c>
      <c r="B117" s="0" t="s">
        <v>55</v>
      </c>
      <c r="C117" s="0" t="n">
        <v>48337.516</v>
      </c>
      <c r="D117" s="0" t="n">
        <v>14111.93</v>
      </c>
      <c r="E117" s="24" t="n">
        <f aca="false">D117/F117</f>
        <v>0.225973661960108</v>
      </c>
      <c r="F117" s="0" t="n">
        <f aca="false">SUM(C117:D117)</f>
        <v>62449.446</v>
      </c>
    </row>
    <row r="118" customFormat="false" ht="15" hidden="false" customHeight="false" outlineLevel="0" collapsed="false">
      <c r="A118" s="0" t="n">
        <v>1999</v>
      </c>
      <c r="B118" s="0" t="s">
        <v>57</v>
      </c>
      <c r="C118" s="0" t="n">
        <v>40470.733</v>
      </c>
      <c r="D118" s="0" t="n">
        <v>14223.769</v>
      </c>
      <c r="E118" s="24" t="n">
        <f aca="false">D118/F118</f>
        <v>0.260058479003977</v>
      </c>
      <c r="F118" s="0" t="n">
        <f aca="false">SUM(C118:D118)</f>
        <v>54694.502</v>
      </c>
    </row>
    <row r="119" customFormat="false" ht="15" hidden="false" customHeight="false" outlineLevel="0" collapsed="false">
      <c r="A119" s="0" t="n">
        <v>1999</v>
      </c>
      <c r="B119" s="0" t="s">
        <v>58</v>
      </c>
      <c r="C119" s="0" t="n">
        <v>40880.998</v>
      </c>
      <c r="D119" s="0" t="n">
        <v>14094.694</v>
      </c>
      <c r="E119" s="24" t="n">
        <f aca="false">D119/F119</f>
        <v>0.256380474483159</v>
      </c>
      <c r="F119" s="0" t="n">
        <f aca="false">SUM(C119:D119)</f>
        <v>54975.692</v>
      </c>
    </row>
    <row r="120" customFormat="false" ht="15" hidden="false" customHeight="false" outlineLevel="0" collapsed="false">
      <c r="A120" s="0" t="n">
        <v>1999</v>
      </c>
      <c r="B120" s="0" t="s">
        <v>60</v>
      </c>
      <c r="C120" s="0" t="n">
        <v>52782.671</v>
      </c>
      <c r="D120" s="0" t="n">
        <v>14433.048</v>
      </c>
      <c r="E120" s="24" t="n">
        <f aca="false">D120/F120</f>
        <v>0.214727272351278</v>
      </c>
      <c r="F120" s="0" t="n">
        <f aca="false">SUM(C120:D120)</f>
        <v>67215.719</v>
      </c>
    </row>
    <row r="121" customFormat="false" ht="15" hidden="false" customHeight="false" outlineLevel="0" collapsed="false">
      <c r="A121" s="0" t="n">
        <v>1999</v>
      </c>
      <c r="B121" s="0" t="s">
        <v>49</v>
      </c>
      <c r="C121" s="0" t="n">
        <v>46482.391</v>
      </c>
      <c r="D121" s="0" t="n">
        <v>15603.765</v>
      </c>
      <c r="E121" s="24" t="n">
        <f aca="false">D121/F121</f>
        <v>0.251324385423378</v>
      </c>
      <c r="F121" s="0" t="n">
        <f aca="false">SUM(C121:D121)</f>
        <v>62086.156</v>
      </c>
    </row>
    <row r="122" customFormat="false" ht="15" hidden="false" customHeight="false" outlineLevel="0" collapsed="false">
      <c r="A122" s="0" t="n">
        <v>2000</v>
      </c>
      <c r="B122" s="0" t="s">
        <v>49</v>
      </c>
      <c r="C122" s="0" t="n">
        <v>49397.543</v>
      </c>
      <c r="D122" s="0" t="n">
        <v>11419.28</v>
      </c>
      <c r="E122" s="24" t="n">
        <f aca="false">D122/F122</f>
        <v>0.187765151757434</v>
      </c>
      <c r="F122" s="0" t="n">
        <f aca="false">SUM(C122:D122)</f>
        <v>60816.823</v>
      </c>
    </row>
    <row r="123" customFormat="false" ht="15" hidden="false" customHeight="false" outlineLevel="0" collapsed="false">
      <c r="A123" s="0" t="n">
        <v>2000</v>
      </c>
      <c r="B123" s="0" t="s">
        <v>60</v>
      </c>
      <c r="C123" s="0" t="n">
        <v>52840.225</v>
      </c>
      <c r="D123" s="0" t="n">
        <v>12338.311</v>
      </c>
      <c r="E123" s="24" t="n">
        <f aca="false">D123/F123</f>
        <v>0.18930021686894</v>
      </c>
      <c r="F123" s="0" t="n">
        <f aca="false">SUM(C123:D123)</f>
        <v>65178.536</v>
      </c>
    </row>
    <row r="124" customFormat="false" ht="15" hidden="false" customHeight="false" outlineLevel="0" collapsed="false">
      <c r="A124" s="0" t="n">
        <v>2000</v>
      </c>
      <c r="B124" s="0" t="s">
        <v>57</v>
      </c>
      <c r="C124" s="0" t="n">
        <v>49569.772</v>
      </c>
      <c r="D124" s="0" t="n">
        <v>11687.93</v>
      </c>
      <c r="E124" s="24" t="n">
        <f aca="false">D124/F124</f>
        <v>0.190799354504026</v>
      </c>
      <c r="F124" s="0" t="n">
        <f aca="false">SUM(C124:D124)</f>
        <v>61257.702</v>
      </c>
    </row>
    <row r="125" customFormat="false" ht="15" hidden="false" customHeight="false" outlineLevel="0" collapsed="false">
      <c r="A125" s="0" t="n">
        <v>2000</v>
      </c>
      <c r="B125" s="0" t="s">
        <v>55</v>
      </c>
      <c r="C125" s="0" t="n">
        <v>48553.004</v>
      </c>
      <c r="D125" s="0" t="n">
        <v>13407.993</v>
      </c>
      <c r="E125" s="24" t="n">
        <f aca="false">D125/F125</f>
        <v>0.216394080940951</v>
      </c>
      <c r="F125" s="0" t="n">
        <f aca="false">SUM(C125:D125)</f>
        <v>61960.997</v>
      </c>
    </row>
    <row r="126" customFormat="false" ht="15" hidden="false" customHeight="false" outlineLevel="0" collapsed="false">
      <c r="A126" s="0" t="n">
        <v>2000</v>
      </c>
      <c r="B126" s="0" t="s">
        <v>58</v>
      </c>
      <c r="C126" s="0" t="n">
        <v>39257.909</v>
      </c>
      <c r="D126" s="0" t="n">
        <v>12680.955</v>
      </c>
      <c r="E126" s="24" t="n">
        <f aca="false">D126/F126</f>
        <v>0.244151566349237</v>
      </c>
      <c r="F126" s="0" t="n">
        <f aca="false">SUM(C126:D126)</f>
        <v>51938.864</v>
      </c>
    </row>
    <row r="127" customFormat="false" ht="15" hidden="false" customHeight="false" outlineLevel="0" collapsed="false">
      <c r="A127" s="0" t="n">
        <v>2000</v>
      </c>
      <c r="B127" s="0" t="s">
        <v>53</v>
      </c>
      <c r="C127" s="0" t="n">
        <v>53138.994</v>
      </c>
      <c r="D127" s="0" t="n">
        <v>13046.814</v>
      </c>
      <c r="E127" s="24" t="n">
        <f aca="false">D127/F127</f>
        <v>0.197124042060497</v>
      </c>
      <c r="F127" s="0" t="n">
        <f aca="false">SUM(C127:D127)</f>
        <v>66185.808</v>
      </c>
    </row>
    <row r="128" customFormat="false" ht="15" hidden="false" customHeight="false" outlineLevel="0" collapsed="false">
      <c r="A128" s="0" t="n">
        <v>2000</v>
      </c>
      <c r="B128" s="0" t="s">
        <v>52</v>
      </c>
      <c r="C128" s="0" t="n">
        <v>47297.271</v>
      </c>
      <c r="D128" s="0" t="n">
        <v>10143.616</v>
      </c>
      <c r="E128" s="24" t="n">
        <f aca="false">D128/F128</f>
        <v>0.176592259099342</v>
      </c>
      <c r="F128" s="0" t="n">
        <f aca="false">SUM(C128:D128)</f>
        <v>57440.887</v>
      </c>
    </row>
    <row r="129" customFormat="false" ht="15" hidden="false" customHeight="false" outlineLevel="0" collapsed="false">
      <c r="A129" s="0" t="n">
        <v>2000</v>
      </c>
      <c r="B129" s="0" t="s">
        <v>59</v>
      </c>
      <c r="C129" s="0" t="n">
        <v>51706.871</v>
      </c>
      <c r="D129" s="0" t="n">
        <v>12937.615</v>
      </c>
      <c r="E129" s="24" t="n">
        <f aca="false">D129/F129</f>
        <v>0.200134857596362</v>
      </c>
      <c r="F129" s="0" t="n">
        <f aca="false">SUM(C129:D129)</f>
        <v>64644.486</v>
      </c>
    </row>
    <row r="130" customFormat="false" ht="15" hidden="false" customHeight="false" outlineLevel="0" collapsed="false">
      <c r="A130" s="0" t="n">
        <v>2000</v>
      </c>
      <c r="B130" s="0" t="s">
        <v>51</v>
      </c>
      <c r="C130" s="0" t="n">
        <v>49501.962</v>
      </c>
      <c r="D130" s="0" t="n">
        <v>12318.168</v>
      </c>
      <c r="E130" s="24" t="n">
        <f aca="false">D130/F130</f>
        <v>0.199258202789286</v>
      </c>
      <c r="F130" s="0" t="n">
        <f aca="false">SUM(C130:D130)</f>
        <v>61820.13</v>
      </c>
    </row>
    <row r="131" customFormat="false" ht="15" hidden="false" customHeight="false" outlineLevel="0" collapsed="false">
      <c r="A131" s="0" t="n">
        <v>2000</v>
      </c>
      <c r="B131" s="0" t="s">
        <v>50</v>
      </c>
      <c r="C131" s="0" t="n">
        <v>52617.237</v>
      </c>
      <c r="D131" s="0" t="n">
        <v>11602.618</v>
      </c>
      <c r="E131" s="24" t="n">
        <f aca="false">D131/F131</f>
        <v>0.180670261556959</v>
      </c>
      <c r="F131" s="0" t="n">
        <f aca="false">SUM(C131:D131)</f>
        <v>64219.855</v>
      </c>
    </row>
    <row r="132" customFormat="false" ht="15" hidden="false" customHeight="false" outlineLevel="0" collapsed="false">
      <c r="A132" s="0" t="n">
        <v>2000</v>
      </c>
      <c r="B132" s="0" t="s">
        <v>56</v>
      </c>
      <c r="C132" s="0" t="n">
        <v>48423.406</v>
      </c>
      <c r="D132" s="0" t="n">
        <v>11976.354</v>
      </c>
      <c r="E132" s="24" t="n">
        <f aca="false">D132/F132</f>
        <v>0.198284794509117</v>
      </c>
      <c r="F132" s="0" t="n">
        <f aca="false">SUM(C132:D132)</f>
        <v>60399.76</v>
      </c>
    </row>
    <row r="133" customFormat="false" ht="15" hidden="false" customHeight="false" outlineLevel="0" collapsed="false">
      <c r="A133" s="0" t="n">
        <v>2000</v>
      </c>
      <c r="B133" s="0" t="s">
        <v>54</v>
      </c>
      <c r="C133" s="0" t="n">
        <v>51085.485</v>
      </c>
      <c r="D133" s="0" t="n">
        <v>13389.184</v>
      </c>
      <c r="E133" s="24" t="n">
        <f aca="false">D133/F133</f>
        <v>0.207665804379701</v>
      </c>
      <c r="F133" s="0" t="n">
        <f aca="false">SUM(C133:D133)</f>
        <v>64474.669</v>
      </c>
    </row>
    <row r="134" customFormat="false" ht="15" hidden="false" customHeight="false" outlineLevel="0" collapsed="false">
      <c r="A134" s="0" t="n">
        <v>2001</v>
      </c>
      <c r="B134" s="0" t="s">
        <v>49</v>
      </c>
      <c r="C134" s="0" t="n">
        <v>50344.954</v>
      </c>
      <c r="D134" s="0" t="n">
        <v>9398.856</v>
      </c>
      <c r="E134" s="24" t="n">
        <f aca="false">D134/F134</f>
        <v>0.157319327307716</v>
      </c>
      <c r="F134" s="0" t="n">
        <f aca="false">SUM(C134:D134)</f>
        <v>59743.81</v>
      </c>
    </row>
    <row r="135" customFormat="false" ht="15" hidden="false" customHeight="false" outlineLevel="0" collapsed="false">
      <c r="A135" s="0" t="n">
        <v>2001</v>
      </c>
      <c r="B135" s="0" t="s">
        <v>58</v>
      </c>
      <c r="C135" s="0" t="n">
        <v>43521.369</v>
      </c>
      <c r="D135" s="0" t="n">
        <v>8931.217</v>
      </c>
      <c r="E135" s="24" t="n">
        <f aca="false">D135/F135</f>
        <v>0.170272195921856</v>
      </c>
      <c r="F135" s="0" t="n">
        <f aca="false">SUM(C135:D135)</f>
        <v>52452.586</v>
      </c>
    </row>
    <row r="136" customFormat="false" ht="15" hidden="false" customHeight="false" outlineLevel="0" collapsed="false">
      <c r="A136" s="0" t="n">
        <v>2001</v>
      </c>
      <c r="B136" s="0" t="s">
        <v>57</v>
      </c>
      <c r="C136" s="0" t="n">
        <v>45959.105</v>
      </c>
      <c r="D136" s="0" t="n">
        <v>9234.716</v>
      </c>
      <c r="E136" s="24" t="n">
        <f aca="false">D136/F136</f>
        <v>0.167314308607117</v>
      </c>
      <c r="F136" s="0" t="n">
        <f aca="false">SUM(C136:D136)</f>
        <v>55193.821</v>
      </c>
    </row>
    <row r="137" customFormat="false" ht="15" hidden="false" customHeight="false" outlineLevel="0" collapsed="false">
      <c r="A137" s="0" t="n">
        <v>2001</v>
      </c>
      <c r="B137" s="0" t="s">
        <v>55</v>
      </c>
      <c r="C137" s="0" t="n">
        <v>51834.828</v>
      </c>
      <c r="D137" s="0" t="n">
        <v>10570.868</v>
      </c>
      <c r="E137" s="24" t="n">
        <f aca="false">D137/F137</f>
        <v>0.169389473678813</v>
      </c>
      <c r="F137" s="0" t="n">
        <f aca="false">SUM(C137:D137)</f>
        <v>62405.696</v>
      </c>
    </row>
    <row r="138" customFormat="false" ht="15" hidden="false" customHeight="false" outlineLevel="0" collapsed="false">
      <c r="A138" s="0" t="n">
        <v>2001</v>
      </c>
      <c r="B138" s="0" t="s">
        <v>54</v>
      </c>
      <c r="C138" s="0" t="n">
        <v>54050.445</v>
      </c>
      <c r="D138" s="0" t="n">
        <v>10143.583</v>
      </c>
      <c r="E138" s="24" t="n">
        <f aca="false">D138/F138</f>
        <v>0.158014433990651</v>
      </c>
      <c r="F138" s="0" t="n">
        <f aca="false">SUM(C138:D138)</f>
        <v>64194.028</v>
      </c>
    </row>
    <row r="139" customFormat="false" ht="15" hidden="false" customHeight="false" outlineLevel="0" collapsed="false">
      <c r="A139" s="0" t="n">
        <v>2001</v>
      </c>
      <c r="B139" s="0" t="s">
        <v>53</v>
      </c>
      <c r="C139" s="0" t="n">
        <v>52915.006</v>
      </c>
      <c r="D139" s="0" t="n">
        <v>10514.641</v>
      </c>
      <c r="E139" s="24" t="n">
        <f aca="false">D139/F139</f>
        <v>0.165768556145362</v>
      </c>
      <c r="F139" s="0" t="n">
        <f aca="false">SUM(C139:D139)</f>
        <v>63429.647</v>
      </c>
    </row>
    <row r="140" customFormat="false" ht="15" hidden="false" customHeight="false" outlineLevel="0" collapsed="false">
      <c r="A140" s="0" t="n">
        <v>2001</v>
      </c>
      <c r="B140" s="0" t="s">
        <v>52</v>
      </c>
      <c r="C140" s="0" t="n">
        <v>49013.618</v>
      </c>
      <c r="D140" s="0" t="n">
        <v>10039.301</v>
      </c>
      <c r="E140" s="24" t="n">
        <f aca="false">D140/F140</f>
        <v>0.170005160964185</v>
      </c>
      <c r="F140" s="0" t="n">
        <f aca="false">SUM(C140:D140)</f>
        <v>59052.919</v>
      </c>
    </row>
    <row r="141" customFormat="false" ht="15" hidden="false" customHeight="false" outlineLevel="0" collapsed="false">
      <c r="A141" s="0" t="n">
        <v>2001</v>
      </c>
      <c r="B141" s="0" t="s">
        <v>59</v>
      </c>
      <c r="C141" s="0" t="n">
        <v>56156.245</v>
      </c>
      <c r="D141" s="0" t="n">
        <v>9366.491</v>
      </c>
      <c r="E141" s="24" t="n">
        <f aca="false">D141/F141</f>
        <v>0.142950242492926</v>
      </c>
      <c r="F141" s="0" t="n">
        <f aca="false">SUM(C141:D141)</f>
        <v>65522.736</v>
      </c>
    </row>
    <row r="142" customFormat="false" ht="15" hidden="false" customHeight="false" outlineLevel="0" collapsed="false">
      <c r="A142" s="0" t="n">
        <v>2001</v>
      </c>
      <c r="B142" s="0" t="s">
        <v>51</v>
      </c>
      <c r="C142" s="0" t="n">
        <v>48607.205</v>
      </c>
      <c r="D142" s="0" t="n">
        <v>10330.825</v>
      </c>
      <c r="E142" s="24" t="n">
        <f aca="false">D142/F142</f>
        <v>0.175282835208438</v>
      </c>
      <c r="F142" s="0" t="n">
        <f aca="false">SUM(C142:D142)</f>
        <v>58938.03</v>
      </c>
    </row>
    <row r="143" customFormat="false" ht="15" hidden="false" customHeight="false" outlineLevel="0" collapsed="false">
      <c r="A143" s="0" t="n">
        <v>2001</v>
      </c>
      <c r="B143" s="0" t="s">
        <v>50</v>
      </c>
      <c r="C143" s="0" t="n">
        <v>51938.377</v>
      </c>
      <c r="D143" s="0" t="n">
        <v>9752.261</v>
      </c>
      <c r="E143" s="24" t="n">
        <f aca="false">D143/F143</f>
        <v>0.158083322140387</v>
      </c>
      <c r="F143" s="0" t="n">
        <f aca="false">SUM(C143:D143)</f>
        <v>61690.638</v>
      </c>
    </row>
    <row r="144" customFormat="false" ht="15" hidden="false" customHeight="false" outlineLevel="0" collapsed="false">
      <c r="A144" s="0" t="n">
        <v>2001</v>
      </c>
      <c r="B144" s="0" t="s">
        <v>56</v>
      </c>
      <c r="C144" s="0" t="n">
        <v>53413.96</v>
      </c>
      <c r="D144" s="0" t="n">
        <v>9699.735</v>
      </c>
      <c r="E144" s="24" t="n">
        <f aca="false">D144/F144</f>
        <v>0.153686691929541</v>
      </c>
      <c r="F144" s="0" t="n">
        <f aca="false">SUM(C144:D144)</f>
        <v>63113.695</v>
      </c>
    </row>
    <row r="145" customFormat="false" ht="15" hidden="false" customHeight="false" outlineLevel="0" collapsed="false">
      <c r="A145" s="0" t="n">
        <v>2001</v>
      </c>
      <c r="B145" s="0" t="s">
        <v>60</v>
      </c>
      <c r="C145" s="0" t="n">
        <v>50948.911</v>
      </c>
      <c r="D145" s="0" t="n">
        <v>9824.184</v>
      </c>
      <c r="E145" s="24" t="n">
        <f aca="false">D145/F145</f>
        <v>0.161653508020284</v>
      </c>
      <c r="F145" s="0" t="n">
        <f aca="false">SUM(C145:D145)</f>
        <v>60773.095</v>
      </c>
    </row>
    <row r="146" customFormat="false" ht="15" hidden="false" customHeight="false" outlineLevel="0" collapsed="false">
      <c r="A146" s="0" t="n">
        <v>2002</v>
      </c>
      <c r="B146" s="0" t="s">
        <v>60</v>
      </c>
      <c r="C146" s="0" t="n">
        <v>58227.483</v>
      </c>
      <c r="D146" s="0" t="n">
        <v>7681.906</v>
      </c>
      <c r="E146" s="24" t="n">
        <f aca="false">D146/F146</f>
        <v>0.116552529412767</v>
      </c>
      <c r="F146" s="0" t="n">
        <f aca="false">SUM(C146:D146)</f>
        <v>65909.389</v>
      </c>
    </row>
    <row r="147" customFormat="false" ht="15" hidden="false" customHeight="false" outlineLevel="0" collapsed="false">
      <c r="A147" s="0" t="n">
        <v>2002</v>
      </c>
      <c r="B147" s="0" t="s">
        <v>59</v>
      </c>
      <c r="C147" s="0" t="n">
        <v>57276.076</v>
      </c>
      <c r="D147" s="0" t="n">
        <v>9830.334</v>
      </c>
      <c r="E147" s="24" t="n">
        <f aca="false">D147/F147</f>
        <v>0.146488748243275</v>
      </c>
      <c r="F147" s="0" t="n">
        <f aca="false">SUM(C147:D147)</f>
        <v>67106.41</v>
      </c>
    </row>
    <row r="148" customFormat="false" ht="15" hidden="false" customHeight="false" outlineLevel="0" collapsed="false">
      <c r="A148" s="0" t="n">
        <v>2002</v>
      </c>
      <c r="B148" s="0" t="s">
        <v>52</v>
      </c>
      <c r="C148" s="0" t="n">
        <v>51864.831</v>
      </c>
      <c r="D148" s="0" t="n">
        <v>9470.433</v>
      </c>
      <c r="E148" s="24" t="n">
        <f aca="false">D148/F148</f>
        <v>0.15440437331451</v>
      </c>
      <c r="F148" s="0" t="n">
        <f aca="false">SUM(C148:D148)</f>
        <v>61335.264</v>
      </c>
    </row>
    <row r="149" customFormat="false" ht="15" hidden="false" customHeight="false" outlineLevel="0" collapsed="false">
      <c r="A149" s="0" t="n">
        <v>2002</v>
      </c>
      <c r="B149" s="0" t="s">
        <v>53</v>
      </c>
      <c r="C149" s="0" t="n">
        <v>50992.495</v>
      </c>
      <c r="D149" s="0" t="n">
        <v>9925.549</v>
      </c>
      <c r="E149" s="24" t="n">
        <f aca="false">D149/F149</f>
        <v>0.162932824960696</v>
      </c>
      <c r="F149" s="0" t="n">
        <f aca="false">SUM(C149:D149)</f>
        <v>60918.044</v>
      </c>
    </row>
    <row r="150" customFormat="false" ht="15" hidden="false" customHeight="false" outlineLevel="0" collapsed="false">
      <c r="A150" s="0" t="n">
        <v>2002</v>
      </c>
      <c r="B150" s="0" t="s">
        <v>54</v>
      </c>
      <c r="C150" s="0" t="n">
        <v>55629.226</v>
      </c>
      <c r="D150" s="0" t="n">
        <v>9393.527</v>
      </c>
      <c r="E150" s="24" t="n">
        <f aca="false">D150/F150</f>
        <v>0.144465230501698</v>
      </c>
      <c r="F150" s="0" t="n">
        <f aca="false">SUM(C150:D150)</f>
        <v>65022.753</v>
      </c>
    </row>
    <row r="151" customFormat="false" ht="15" hidden="false" customHeight="false" outlineLevel="0" collapsed="false">
      <c r="A151" s="0" t="n">
        <v>2002</v>
      </c>
      <c r="B151" s="0" t="s">
        <v>55</v>
      </c>
      <c r="C151" s="0" t="n">
        <v>54941.682</v>
      </c>
      <c r="D151" s="0" t="n">
        <v>8334.058</v>
      </c>
      <c r="E151" s="24" t="n">
        <f aca="false">D151/F151</f>
        <v>0.131710162536226</v>
      </c>
      <c r="F151" s="0" t="n">
        <f aca="false">SUM(C151:D151)</f>
        <v>63275.74</v>
      </c>
    </row>
    <row r="152" customFormat="false" ht="15" hidden="false" customHeight="false" outlineLevel="0" collapsed="false">
      <c r="A152" s="0" t="n">
        <v>2002</v>
      </c>
      <c r="B152" s="0" t="s">
        <v>56</v>
      </c>
      <c r="C152" s="0" t="n">
        <v>54799.626</v>
      </c>
      <c r="D152" s="0" t="n">
        <v>9056.833</v>
      </c>
      <c r="E152" s="24" t="n">
        <f aca="false">D152/F152</f>
        <v>0.141831118446452</v>
      </c>
      <c r="F152" s="0" t="n">
        <f aca="false">SUM(C152:D152)</f>
        <v>63856.459</v>
      </c>
    </row>
    <row r="153" customFormat="false" ht="15" hidden="false" customHeight="false" outlineLevel="0" collapsed="false">
      <c r="A153" s="0" t="n">
        <v>2002</v>
      </c>
      <c r="B153" s="0" t="s">
        <v>58</v>
      </c>
      <c r="C153" s="0" t="n">
        <v>45462.062</v>
      </c>
      <c r="D153" s="0" t="n">
        <v>9191.149</v>
      </c>
      <c r="E153" s="24" t="n">
        <f aca="false">D153/F153</f>
        <v>0.168172168328774</v>
      </c>
      <c r="F153" s="0" t="n">
        <f aca="false">SUM(C153:D153)</f>
        <v>54653.211</v>
      </c>
    </row>
    <row r="154" customFormat="false" ht="15" hidden="false" customHeight="false" outlineLevel="0" collapsed="false">
      <c r="A154" s="0" t="n">
        <v>2002</v>
      </c>
      <c r="B154" s="0" t="s">
        <v>51</v>
      </c>
      <c r="C154" s="0" t="n">
        <v>54490.679</v>
      </c>
      <c r="D154" s="0" t="n">
        <v>7876.697</v>
      </c>
      <c r="E154" s="24" t="n">
        <f aca="false">D154/F154</f>
        <v>0.126295148283936</v>
      </c>
      <c r="F154" s="0" t="n">
        <f aca="false">SUM(C154:D154)</f>
        <v>62367.376</v>
      </c>
    </row>
    <row r="155" customFormat="false" ht="15" hidden="false" customHeight="false" outlineLevel="0" collapsed="false">
      <c r="A155" s="0" t="n">
        <v>2002</v>
      </c>
      <c r="B155" s="0" t="s">
        <v>57</v>
      </c>
      <c r="C155" s="0" t="n">
        <v>46632.84</v>
      </c>
      <c r="D155" s="0" t="n">
        <v>8612.889</v>
      </c>
      <c r="E155" s="24" t="n">
        <f aca="false">D155/F155</f>
        <v>0.155901445340689</v>
      </c>
      <c r="F155" s="0" t="n">
        <f aca="false">SUM(C155:D155)</f>
        <v>55245.729</v>
      </c>
    </row>
    <row r="156" customFormat="false" ht="15" hidden="false" customHeight="false" outlineLevel="0" collapsed="false">
      <c r="A156" s="0" t="n">
        <v>2002</v>
      </c>
      <c r="B156" s="0" t="s">
        <v>50</v>
      </c>
      <c r="C156" s="0" t="n">
        <v>59702.33</v>
      </c>
      <c r="D156" s="0" t="n">
        <v>8605.519</v>
      </c>
      <c r="E156" s="24" t="n">
        <f aca="false">D156/F156</f>
        <v>0.125981408080937</v>
      </c>
      <c r="F156" s="0" t="n">
        <f aca="false">SUM(C156:D156)</f>
        <v>68307.849</v>
      </c>
    </row>
    <row r="157" customFormat="false" ht="15" hidden="false" customHeight="false" outlineLevel="0" collapsed="false">
      <c r="A157" s="0" t="n">
        <v>2002</v>
      </c>
      <c r="B157" s="0" t="s">
        <v>49</v>
      </c>
      <c r="C157" s="0" t="n">
        <v>54537.718</v>
      </c>
      <c r="D157" s="0" t="n">
        <v>9425.382</v>
      </c>
      <c r="E157" s="24" t="n">
        <f aca="false">D157/F157</f>
        <v>0.147356554013173</v>
      </c>
      <c r="F157" s="0" t="n">
        <f aca="false">SUM(C157:D157)</f>
        <v>63963.1</v>
      </c>
    </row>
    <row r="158" customFormat="false" ht="15" hidden="false" customHeight="false" outlineLevel="0" collapsed="false">
      <c r="A158" s="0" t="n">
        <v>2003</v>
      </c>
      <c r="B158" s="0" t="s">
        <v>51</v>
      </c>
      <c r="C158" s="0" t="n">
        <v>57061.756</v>
      </c>
      <c r="D158" s="0" t="n">
        <v>7116.6</v>
      </c>
      <c r="E158" s="24" t="n">
        <f aca="false">D158/F158</f>
        <v>0.11088785134976</v>
      </c>
      <c r="F158" s="0" t="n">
        <f aca="false">SUM(C158:D158)</f>
        <v>64178.356</v>
      </c>
    </row>
    <row r="159" customFormat="false" ht="15" hidden="false" customHeight="false" outlineLevel="0" collapsed="false">
      <c r="A159" s="0" t="n">
        <v>2003</v>
      </c>
      <c r="B159" s="0" t="s">
        <v>59</v>
      </c>
      <c r="C159" s="0" t="n">
        <v>53814.033</v>
      </c>
      <c r="D159" s="0" t="n">
        <v>8591.008</v>
      </c>
      <c r="E159" s="24" t="n">
        <f aca="false">D159/F159</f>
        <v>0.137665288930745</v>
      </c>
      <c r="F159" s="0" t="n">
        <f aca="false">SUM(C159:D159)</f>
        <v>62405.041</v>
      </c>
    </row>
    <row r="160" customFormat="false" ht="15" hidden="false" customHeight="false" outlineLevel="0" collapsed="false">
      <c r="A160" s="0" t="n">
        <v>2003</v>
      </c>
      <c r="B160" s="0" t="s">
        <v>58</v>
      </c>
      <c r="C160" s="0" t="n">
        <v>46092.892</v>
      </c>
      <c r="D160" s="0" t="n">
        <v>7316.207</v>
      </c>
      <c r="E160" s="24" t="n">
        <f aca="false">D160/F160</f>
        <v>0.136984280524935</v>
      </c>
      <c r="F160" s="0" t="n">
        <f aca="false">SUM(C160:D160)</f>
        <v>53409.099</v>
      </c>
    </row>
    <row r="161" customFormat="false" ht="15" hidden="false" customHeight="false" outlineLevel="0" collapsed="false">
      <c r="A161" s="0" t="n">
        <v>2003</v>
      </c>
      <c r="B161" s="0" t="s">
        <v>57</v>
      </c>
      <c r="C161" s="0" t="n">
        <v>46795.139</v>
      </c>
      <c r="D161" s="0" t="n">
        <v>7246.204</v>
      </c>
      <c r="E161" s="24" t="n">
        <f aca="false">D161/F161</f>
        <v>0.134086304998009</v>
      </c>
      <c r="F161" s="0" t="n">
        <f aca="false">SUM(C161:D161)</f>
        <v>54041.343</v>
      </c>
    </row>
    <row r="162" customFormat="false" ht="15" hidden="false" customHeight="false" outlineLevel="0" collapsed="false">
      <c r="A162" s="0" t="n">
        <v>2003</v>
      </c>
      <c r="B162" s="0" t="s">
        <v>56</v>
      </c>
      <c r="C162" s="0" t="n">
        <v>46540.788</v>
      </c>
      <c r="D162" s="0" t="n">
        <v>7730.848</v>
      </c>
      <c r="E162" s="24" t="n">
        <f aca="false">D162/F162</f>
        <v>0.142447299727615</v>
      </c>
      <c r="F162" s="0" t="n">
        <f aca="false">SUM(C162:D162)</f>
        <v>54271.636</v>
      </c>
    </row>
    <row r="163" customFormat="false" ht="15" hidden="false" customHeight="false" outlineLevel="0" collapsed="false">
      <c r="A163" s="0" t="n">
        <v>2003</v>
      </c>
      <c r="B163" s="0" t="s">
        <v>55</v>
      </c>
      <c r="C163" s="0" t="n">
        <v>52070.414</v>
      </c>
      <c r="D163" s="0" t="n">
        <v>7200.765</v>
      </c>
      <c r="E163" s="24" t="n">
        <f aca="false">D163/F163</f>
        <v>0.121488472500269</v>
      </c>
      <c r="F163" s="0" t="n">
        <f aca="false">SUM(C163:D163)</f>
        <v>59271.179</v>
      </c>
    </row>
    <row r="164" customFormat="false" ht="15" hidden="false" customHeight="false" outlineLevel="0" collapsed="false">
      <c r="A164" s="0" t="n">
        <v>2003</v>
      </c>
      <c r="B164" s="0" t="s">
        <v>54</v>
      </c>
      <c r="C164" s="0" t="n">
        <v>56324.43</v>
      </c>
      <c r="D164" s="0" t="n">
        <v>7620.431</v>
      </c>
      <c r="E164" s="24" t="n">
        <f aca="false">D164/F164</f>
        <v>0.119171906558683</v>
      </c>
      <c r="F164" s="0" t="n">
        <f aca="false">SUM(C164:D164)</f>
        <v>63944.861</v>
      </c>
    </row>
    <row r="165" customFormat="false" ht="15" hidden="false" customHeight="false" outlineLevel="0" collapsed="false">
      <c r="A165" s="0" t="n">
        <v>2003</v>
      </c>
      <c r="B165" s="0" t="s">
        <v>53</v>
      </c>
      <c r="C165" s="0" t="n">
        <v>51038.242</v>
      </c>
      <c r="D165" s="0" t="n">
        <v>7143.382</v>
      </c>
      <c r="E165" s="24" t="n">
        <f aca="false">D165/F165</f>
        <v>0.122777287894198</v>
      </c>
      <c r="F165" s="0" t="n">
        <f aca="false">SUM(C165:D165)</f>
        <v>58181.624</v>
      </c>
    </row>
    <row r="166" customFormat="false" ht="15" hidden="false" customHeight="false" outlineLevel="0" collapsed="false">
      <c r="A166" s="0" t="n">
        <v>2003</v>
      </c>
      <c r="B166" s="0" t="s">
        <v>52</v>
      </c>
      <c r="C166" s="0" t="n">
        <v>54267.474</v>
      </c>
      <c r="D166" s="0" t="n">
        <v>6872.023</v>
      </c>
      <c r="E166" s="24" t="n">
        <f aca="false">D166/F166</f>
        <v>0.112399076492239</v>
      </c>
      <c r="F166" s="0" t="n">
        <f aca="false">SUM(C166:D166)</f>
        <v>61139.497</v>
      </c>
    </row>
    <row r="167" customFormat="false" ht="15" hidden="false" customHeight="false" outlineLevel="0" collapsed="false">
      <c r="A167" s="0" t="n">
        <v>2003</v>
      </c>
      <c r="B167" s="0" t="s">
        <v>60</v>
      </c>
      <c r="C167" s="0" t="n">
        <v>61279.651</v>
      </c>
      <c r="D167" s="0" t="n">
        <v>6767.353</v>
      </c>
      <c r="E167" s="24" t="n">
        <f aca="false">D167/F167</f>
        <v>0.0994511529118901</v>
      </c>
      <c r="F167" s="0" t="n">
        <f aca="false">SUM(C167:D167)</f>
        <v>68047.004</v>
      </c>
    </row>
    <row r="168" customFormat="false" ht="15" hidden="false" customHeight="false" outlineLevel="0" collapsed="false">
      <c r="A168" s="0" t="n">
        <v>2003</v>
      </c>
      <c r="B168" s="0" t="s">
        <v>50</v>
      </c>
      <c r="C168" s="0" t="n">
        <v>59741.044</v>
      </c>
      <c r="D168" s="0" t="n">
        <v>7492.152</v>
      </c>
      <c r="E168" s="24" t="n">
        <f aca="false">D168/F168</f>
        <v>0.111435309426611</v>
      </c>
      <c r="F168" s="0" t="n">
        <f aca="false">SUM(C168:D168)</f>
        <v>67233.196</v>
      </c>
    </row>
    <row r="169" customFormat="false" ht="15" hidden="false" customHeight="false" outlineLevel="0" collapsed="false">
      <c r="A169" s="0" t="n">
        <v>2003</v>
      </c>
      <c r="B169" s="0" t="s">
        <v>49</v>
      </c>
      <c r="C169" s="0" t="n">
        <v>54344.379</v>
      </c>
      <c r="D169" s="0" t="n">
        <v>8073.394</v>
      </c>
      <c r="E169" s="24" t="n">
        <f aca="false">D169/F169</f>
        <v>0.129344473728661</v>
      </c>
      <c r="F169" s="0" t="n">
        <f aca="false">SUM(C169:D169)</f>
        <v>62417.773</v>
      </c>
    </row>
    <row r="170" customFormat="false" ht="15" hidden="false" customHeight="false" outlineLevel="0" collapsed="false">
      <c r="A170" s="0" t="n">
        <v>2004</v>
      </c>
      <c r="B170" s="0" t="s">
        <v>53</v>
      </c>
      <c r="C170" s="0" t="n">
        <v>57513.784</v>
      </c>
      <c r="D170" s="0" t="n">
        <v>6159.901</v>
      </c>
      <c r="E170" s="24" t="n">
        <f aca="false">D170/F170</f>
        <v>0.0967417073473916</v>
      </c>
      <c r="F170" s="0" t="n">
        <f aca="false">SUM(C170:D170)</f>
        <v>63673.685</v>
      </c>
    </row>
    <row r="171" customFormat="false" ht="15" hidden="false" customHeight="false" outlineLevel="0" collapsed="false">
      <c r="A171" s="0" t="n">
        <v>2004</v>
      </c>
      <c r="B171" s="0" t="s">
        <v>54</v>
      </c>
      <c r="C171" s="0" t="n">
        <v>57218.569</v>
      </c>
      <c r="D171" s="0" t="n">
        <v>6758.81</v>
      </c>
      <c r="E171" s="24" t="n">
        <f aca="false">D171/F171</f>
        <v>0.105643746362288</v>
      </c>
      <c r="F171" s="0" t="n">
        <f aca="false">SUM(C171:D171)</f>
        <v>63977.379</v>
      </c>
    </row>
    <row r="172" customFormat="false" ht="15" hidden="false" customHeight="false" outlineLevel="0" collapsed="false">
      <c r="A172" s="0" t="n">
        <v>2004</v>
      </c>
      <c r="B172" s="0" t="s">
        <v>55</v>
      </c>
      <c r="C172" s="0" t="n">
        <v>60319.124</v>
      </c>
      <c r="D172" s="0" t="n">
        <v>6507.151</v>
      </c>
      <c r="E172" s="24" t="n">
        <f aca="false">D172/F172</f>
        <v>0.0973741391391335</v>
      </c>
      <c r="F172" s="0" t="n">
        <f aca="false">SUM(C172:D172)</f>
        <v>66826.275</v>
      </c>
    </row>
    <row r="173" customFormat="false" ht="15" hidden="false" customHeight="false" outlineLevel="0" collapsed="false">
      <c r="A173" s="0" t="n">
        <v>2004</v>
      </c>
      <c r="B173" s="0" t="s">
        <v>56</v>
      </c>
      <c r="C173" s="0" t="n">
        <v>60296.752</v>
      </c>
      <c r="D173" s="0" t="n">
        <v>6678.337</v>
      </c>
      <c r="E173" s="24" t="n">
        <f aca="false">D173/F173</f>
        <v>0.0997137458077883</v>
      </c>
      <c r="F173" s="0" t="n">
        <f aca="false">SUM(C173:D173)</f>
        <v>66975.089</v>
      </c>
    </row>
    <row r="174" customFormat="false" ht="15" hidden="false" customHeight="false" outlineLevel="0" collapsed="false">
      <c r="A174" s="0" t="n">
        <v>2004</v>
      </c>
      <c r="B174" s="0" t="s">
        <v>57</v>
      </c>
      <c r="C174" s="0" t="n">
        <v>48641.098</v>
      </c>
      <c r="D174" s="0" t="n">
        <v>5912.294</v>
      </c>
      <c r="E174" s="24" t="n">
        <f aca="false">D174/F174</f>
        <v>0.108376285749564</v>
      </c>
      <c r="F174" s="0" t="n">
        <f aca="false">SUM(C174:D174)</f>
        <v>54553.392</v>
      </c>
    </row>
    <row r="175" customFormat="false" ht="15" hidden="false" customHeight="false" outlineLevel="0" collapsed="false">
      <c r="A175" s="0" t="n">
        <v>2004</v>
      </c>
      <c r="B175" s="0" t="s">
        <v>58</v>
      </c>
      <c r="C175" s="0" t="n">
        <v>47058.726</v>
      </c>
      <c r="D175" s="0" t="n">
        <v>6225.922</v>
      </c>
      <c r="E175" s="24" t="n">
        <f aca="false">D175/F175</f>
        <v>0.116842697356282</v>
      </c>
      <c r="F175" s="0" t="n">
        <f aca="false">SUM(C175:D175)</f>
        <v>53284.648</v>
      </c>
    </row>
    <row r="176" customFormat="false" ht="15" hidden="false" customHeight="false" outlineLevel="0" collapsed="false">
      <c r="A176" s="0" t="n">
        <v>2004</v>
      </c>
      <c r="B176" s="0" t="s">
        <v>52</v>
      </c>
      <c r="C176" s="0" t="n">
        <v>59140.466</v>
      </c>
      <c r="D176" s="0" t="n">
        <v>7997.469</v>
      </c>
      <c r="E176" s="24" t="n">
        <f aca="false">D176/F176</f>
        <v>0.119119972933335</v>
      </c>
      <c r="F176" s="0" t="n">
        <f aca="false">SUM(C176:D176)</f>
        <v>67137.935</v>
      </c>
    </row>
    <row r="177" customFormat="false" ht="15" hidden="false" customHeight="false" outlineLevel="0" collapsed="false">
      <c r="A177" s="0" t="n">
        <v>2004</v>
      </c>
      <c r="B177" s="0" t="s">
        <v>59</v>
      </c>
      <c r="C177" s="0" t="n">
        <v>59832.879</v>
      </c>
      <c r="D177" s="0" t="n">
        <v>5808.022</v>
      </c>
      <c r="E177" s="24" t="n">
        <f aca="false">D177/F177</f>
        <v>0.0884817531678915</v>
      </c>
      <c r="F177" s="0" t="n">
        <f aca="false">SUM(C177:D177)</f>
        <v>65640.901</v>
      </c>
    </row>
    <row r="178" customFormat="false" ht="15" hidden="false" customHeight="false" outlineLevel="0" collapsed="false">
      <c r="A178" s="0" t="n">
        <v>2004</v>
      </c>
      <c r="B178" s="0" t="s">
        <v>51</v>
      </c>
      <c r="C178" s="0" t="n">
        <v>61216.579</v>
      </c>
      <c r="D178" s="0" t="n">
        <v>6806.102</v>
      </c>
      <c r="E178" s="24" t="n">
        <f aca="false">D178/F178</f>
        <v>0.100056362083112</v>
      </c>
      <c r="F178" s="0" t="n">
        <f aca="false">SUM(C178:D178)</f>
        <v>68022.681</v>
      </c>
    </row>
    <row r="179" customFormat="false" ht="15" hidden="false" customHeight="false" outlineLevel="0" collapsed="false">
      <c r="A179" s="0" t="n">
        <v>2004</v>
      </c>
      <c r="B179" s="0" t="s">
        <v>50</v>
      </c>
      <c r="C179" s="0" t="n">
        <v>60630.311</v>
      </c>
      <c r="D179" s="0" t="n">
        <v>5493.589</v>
      </c>
      <c r="E179" s="24" t="n">
        <f aca="false">D179/F179</f>
        <v>0.0830802327146463</v>
      </c>
      <c r="F179" s="0" t="n">
        <f aca="false">SUM(C179:D179)</f>
        <v>66123.9</v>
      </c>
    </row>
    <row r="180" customFormat="false" ht="15" hidden="false" customHeight="false" outlineLevel="0" collapsed="false">
      <c r="A180" s="0" t="n">
        <v>2004</v>
      </c>
      <c r="B180" s="0" t="s">
        <v>49</v>
      </c>
      <c r="C180" s="0" t="n">
        <v>60074.652</v>
      </c>
      <c r="D180" s="0" t="n">
        <v>5637.309</v>
      </c>
      <c r="E180" s="24" t="n">
        <f aca="false">D180/F180</f>
        <v>0.0857881718063474</v>
      </c>
      <c r="F180" s="0" t="n">
        <f aca="false">SUM(C180:D180)</f>
        <v>65711.961</v>
      </c>
    </row>
    <row r="181" customFormat="false" ht="15" hidden="false" customHeight="false" outlineLevel="0" collapsed="false">
      <c r="A181" s="0" t="n">
        <v>2004</v>
      </c>
      <c r="B181" s="0" t="s">
        <v>60</v>
      </c>
      <c r="C181" s="0" t="n">
        <v>64240.492</v>
      </c>
      <c r="D181" s="0" t="n">
        <v>6213.889</v>
      </c>
      <c r="E181" s="24" t="n">
        <f aca="false">D181/F181</f>
        <v>0.0881973400632106</v>
      </c>
      <c r="F181" s="0" t="n">
        <f aca="false">SUM(C181:D181)</f>
        <v>70454.381</v>
      </c>
    </row>
    <row r="182" customFormat="false" ht="15" hidden="false" customHeight="false" outlineLevel="0" collapsed="false">
      <c r="A182" s="0" t="n">
        <v>2005</v>
      </c>
      <c r="B182" s="0" t="s">
        <v>51</v>
      </c>
      <c r="C182" s="0" t="n">
        <v>62204.6</v>
      </c>
      <c r="D182" s="0" t="n">
        <v>9432.569</v>
      </c>
      <c r="E182" s="24" t="n">
        <f aca="false">D182/F182</f>
        <v>0.131671437211596</v>
      </c>
      <c r="F182" s="0" t="n">
        <f aca="false">SUM(C182:D182)</f>
        <v>71637.169</v>
      </c>
    </row>
    <row r="183" customFormat="false" ht="15" hidden="false" customHeight="false" outlineLevel="0" collapsed="false">
      <c r="A183" s="0" t="n">
        <v>2005</v>
      </c>
      <c r="B183" s="0" t="s">
        <v>59</v>
      </c>
      <c r="C183" s="0" t="n">
        <v>63588.64</v>
      </c>
      <c r="D183" s="0" t="n">
        <v>7452.449</v>
      </c>
      <c r="E183" s="24" t="n">
        <f aca="false">D183/F183</f>
        <v>0.104903360926801</v>
      </c>
      <c r="F183" s="0" t="n">
        <f aca="false">SUM(C183:D183)</f>
        <v>71041.089</v>
      </c>
    </row>
    <row r="184" customFormat="false" ht="15" hidden="false" customHeight="false" outlineLevel="0" collapsed="false">
      <c r="A184" s="0" t="n">
        <v>2005</v>
      </c>
      <c r="B184" s="0" t="s">
        <v>52</v>
      </c>
      <c r="C184" s="0" t="n">
        <v>57163.377</v>
      </c>
      <c r="D184" s="0" t="n">
        <v>7002.729</v>
      </c>
      <c r="E184" s="24" t="n">
        <f aca="false">D184/F184</f>
        <v>0.10913439254051</v>
      </c>
      <c r="F184" s="0" t="n">
        <f aca="false">SUM(C184:D184)</f>
        <v>64166.106</v>
      </c>
    </row>
    <row r="185" customFormat="false" ht="15" hidden="false" customHeight="false" outlineLevel="0" collapsed="false">
      <c r="A185" s="0" t="n">
        <v>2005</v>
      </c>
      <c r="B185" s="0" t="s">
        <v>53</v>
      </c>
      <c r="C185" s="0" t="n">
        <v>62077.229</v>
      </c>
      <c r="D185" s="0" t="n">
        <v>7018.397</v>
      </c>
      <c r="E185" s="24" t="n">
        <f aca="false">D185/F185</f>
        <v>0.10157512720125</v>
      </c>
      <c r="F185" s="0" t="n">
        <f aca="false">SUM(C185:D185)</f>
        <v>69095.626</v>
      </c>
    </row>
    <row r="186" customFormat="false" ht="15" hidden="false" customHeight="false" outlineLevel="0" collapsed="false">
      <c r="A186" s="0" t="n">
        <v>2005</v>
      </c>
      <c r="B186" s="0" t="s">
        <v>54</v>
      </c>
      <c r="C186" s="0" t="n">
        <v>60511.293</v>
      </c>
      <c r="D186" s="0" t="n">
        <v>6573.95</v>
      </c>
      <c r="E186" s="24" t="n">
        <f aca="false">D186/F186</f>
        <v>0.0979939805837776</v>
      </c>
      <c r="F186" s="0" t="n">
        <f aca="false">SUM(C186:D186)</f>
        <v>67085.243</v>
      </c>
    </row>
    <row r="187" customFormat="false" ht="15" hidden="false" customHeight="false" outlineLevel="0" collapsed="false">
      <c r="A187" s="0" t="n">
        <v>2005</v>
      </c>
      <c r="B187" s="0" t="s">
        <v>55</v>
      </c>
      <c r="C187" s="0" t="n">
        <v>60723.717</v>
      </c>
      <c r="D187" s="0" t="n">
        <v>5609.249</v>
      </c>
      <c r="E187" s="24" t="n">
        <f aca="false">D187/F187</f>
        <v>0.0845620109916388</v>
      </c>
      <c r="F187" s="0" t="n">
        <f aca="false">SUM(C187:D187)</f>
        <v>66332.966</v>
      </c>
    </row>
    <row r="188" customFormat="false" ht="15" hidden="false" customHeight="false" outlineLevel="0" collapsed="false">
      <c r="A188" s="0" t="n">
        <v>2005</v>
      </c>
      <c r="B188" s="0" t="s">
        <v>56</v>
      </c>
      <c r="C188" s="0" t="n">
        <v>63408.996</v>
      </c>
      <c r="D188" s="0" t="n">
        <v>6200.294</v>
      </c>
      <c r="E188" s="24" t="n">
        <f aca="false">D188/F188</f>
        <v>0.089072794737599</v>
      </c>
      <c r="F188" s="0" t="n">
        <f aca="false">SUM(C188:D188)</f>
        <v>69609.29</v>
      </c>
    </row>
    <row r="189" customFormat="false" ht="15" hidden="false" customHeight="false" outlineLevel="0" collapsed="false">
      <c r="A189" s="0" t="n">
        <v>2005</v>
      </c>
      <c r="B189" s="0" t="s">
        <v>57</v>
      </c>
      <c r="C189" s="0" t="n">
        <v>51757.881</v>
      </c>
      <c r="D189" s="0" t="n">
        <v>5055.4</v>
      </c>
      <c r="E189" s="24" t="n">
        <f aca="false">D189/F189</f>
        <v>0.0889827151507057</v>
      </c>
      <c r="F189" s="0" t="n">
        <f aca="false">SUM(C189:D189)</f>
        <v>56813.281</v>
      </c>
    </row>
    <row r="190" customFormat="false" ht="15" hidden="false" customHeight="false" outlineLevel="0" collapsed="false">
      <c r="A190" s="0" t="n">
        <v>2005</v>
      </c>
      <c r="B190" s="0" t="s">
        <v>58</v>
      </c>
      <c r="C190" s="0" t="n">
        <v>50111.624</v>
      </c>
      <c r="D190" s="0" t="n">
        <v>6775.441</v>
      </c>
      <c r="E190" s="24" t="n">
        <f aca="false">D190/F190</f>
        <v>0.119103367347217</v>
      </c>
      <c r="F190" s="0" t="n">
        <f aca="false">SUM(C190:D190)</f>
        <v>56887.065</v>
      </c>
    </row>
    <row r="191" customFormat="false" ht="15" hidden="false" customHeight="false" outlineLevel="0" collapsed="false">
      <c r="A191" s="0" t="n">
        <v>2005</v>
      </c>
      <c r="B191" s="0" t="s">
        <v>50</v>
      </c>
      <c r="C191" s="0" t="n">
        <v>58296.971</v>
      </c>
      <c r="D191" s="0" t="n">
        <v>4735.634</v>
      </c>
      <c r="E191" s="24" t="n">
        <f aca="false">D191/F191</f>
        <v>0.0751299109405363</v>
      </c>
      <c r="F191" s="0" t="n">
        <f aca="false">SUM(C191:D191)</f>
        <v>63032.605</v>
      </c>
    </row>
    <row r="192" customFormat="false" ht="15" hidden="false" customHeight="false" outlineLevel="0" collapsed="false">
      <c r="A192" s="0" t="n">
        <v>2005</v>
      </c>
      <c r="B192" s="0" t="s">
        <v>49</v>
      </c>
      <c r="C192" s="0" t="n">
        <v>57547.293</v>
      </c>
      <c r="D192" s="0" t="n">
        <v>5562.687</v>
      </c>
      <c r="E192" s="24" t="n">
        <f aca="false">D192/F192</f>
        <v>0.0881427469950078</v>
      </c>
      <c r="F192" s="0" t="n">
        <f aca="false">SUM(C192:D192)</f>
        <v>63109.98</v>
      </c>
    </row>
    <row r="193" customFormat="false" ht="15" hidden="false" customHeight="false" outlineLevel="0" collapsed="false">
      <c r="A193" s="0" t="n">
        <v>2005</v>
      </c>
      <c r="B193" s="0" t="s">
        <v>60</v>
      </c>
      <c r="C193" s="0" t="n">
        <v>63113.595</v>
      </c>
      <c r="D193" s="0" t="n">
        <v>6140.48</v>
      </c>
      <c r="E193" s="24" t="n">
        <f aca="false">D193/F193</f>
        <v>0.0886659738073175</v>
      </c>
      <c r="F193" s="0" t="n">
        <f aca="false">SUM(C193:D193)</f>
        <v>69254.075</v>
      </c>
    </row>
    <row r="194" customFormat="false" ht="15" hidden="false" customHeight="false" outlineLevel="0" collapsed="false">
      <c r="A194" s="0" t="n">
        <v>2006</v>
      </c>
      <c r="B194" s="0" t="s">
        <v>49</v>
      </c>
      <c r="C194" s="0" t="n">
        <v>60771.151</v>
      </c>
      <c r="D194" s="0" t="n">
        <v>5887.52</v>
      </c>
      <c r="E194" s="24" t="n">
        <f aca="false">D194/F194</f>
        <v>0.0883233930661474</v>
      </c>
      <c r="F194" s="0" t="n">
        <f aca="false">SUM(C194:D194)</f>
        <v>66658.671</v>
      </c>
    </row>
    <row r="195" customFormat="false" ht="15" hidden="false" customHeight="false" outlineLevel="0" collapsed="false">
      <c r="A195" s="0" t="n">
        <v>2006</v>
      </c>
      <c r="B195" s="0" t="s">
        <v>58</v>
      </c>
      <c r="C195" s="0" t="n">
        <v>52252.294</v>
      </c>
      <c r="D195" s="0" t="n">
        <v>8209.37</v>
      </c>
      <c r="E195" s="24" t="n">
        <f aca="false">D195/F195</f>
        <v>0.135778102302973</v>
      </c>
      <c r="F195" s="0" t="n">
        <f aca="false">SUM(C195:D195)</f>
        <v>60461.664</v>
      </c>
    </row>
    <row r="196" customFormat="false" ht="15" hidden="false" customHeight="false" outlineLevel="0" collapsed="false">
      <c r="A196" s="0" t="n">
        <v>2006</v>
      </c>
      <c r="B196" s="0" t="s">
        <v>59</v>
      </c>
      <c r="C196" s="0" t="n">
        <v>63548.467</v>
      </c>
      <c r="D196" s="0" t="n">
        <v>6797.775</v>
      </c>
      <c r="E196" s="24" t="n">
        <f aca="false">D196/F196</f>
        <v>0.0966330937763527</v>
      </c>
      <c r="F196" s="0" t="n">
        <f aca="false">SUM(C196:D196)</f>
        <v>70346.242</v>
      </c>
    </row>
    <row r="197" customFormat="false" ht="15" hidden="false" customHeight="false" outlineLevel="0" collapsed="false">
      <c r="A197" s="0" t="n">
        <v>2006</v>
      </c>
      <c r="B197" s="0" t="s">
        <v>52</v>
      </c>
      <c r="C197" s="0" t="n">
        <v>57433.852</v>
      </c>
      <c r="D197" s="0" t="n">
        <v>7295.577</v>
      </c>
      <c r="E197" s="24" t="n">
        <f aca="false">D197/F197</f>
        <v>0.112708811319809</v>
      </c>
      <c r="F197" s="0" t="n">
        <f aca="false">SUM(C197:D197)</f>
        <v>64729.429</v>
      </c>
    </row>
    <row r="198" customFormat="false" ht="15" hidden="false" customHeight="false" outlineLevel="0" collapsed="false">
      <c r="A198" s="0" t="n">
        <v>2006</v>
      </c>
      <c r="B198" s="0" t="s">
        <v>53</v>
      </c>
      <c r="C198" s="0" t="n">
        <v>64227.042</v>
      </c>
      <c r="D198" s="0" t="n">
        <v>5855.904</v>
      </c>
      <c r="E198" s="24" t="n">
        <f aca="false">D198/F198</f>
        <v>0.083556761440936</v>
      </c>
      <c r="F198" s="0" t="n">
        <f aca="false">SUM(C198:D198)</f>
        <v>70082.946</v>
      </c>
    </row>
    <row r="199" customFormat="false" ht="15" hidden="false" customHeight="false" outlineLevel="0" collapsed="false">
      <c r="A199" s="0" t="n">
        <v>2006</v>
      </c>
      <c r="B199" s="0" t="s">
        <v>54</v>
      </c>
      <c r="C199" s="0" t="n">
        <v>64139.287</v>
      </c>
      <c r="D199" s="0" t="n">
        <v>6098.045</v>
      </c>
      <c r="E199" s="24" t="n">
        <f aca="false">D199/F199</f>
        <v>0.0868205671593562</v>
      </c>
      <c r="F199" s="0" t="n">
        <f aca="false">SUM(C199:D199)</f>
        <v>70237.332</v>
      </c>
    </row>
    <row r="200" customFormat="false" ht="15" hidden="false" customHeight="false" outlineLevel="0" collapsed="false">
      <c r="A200" s="0" t="n">
        <v>2006</v>
      </c>
      <c r="B200" s="0" t="s">
        <v>55</v>
      </c>
      <c r="C200" s="0" t="n">
        <v>59829.875</v>
      </c>
      <c r="D200" s="0" t="n">
        <v>5345.894</v>
      </c>
      <c r="E200" s="24" t="n">
        <f aca="false">D200/F200</f>
        <v>0.0820227222788887</v>
      </c>
      <c r="F200" s="0" t="n">
        <f aca="false">SUM(C200:D200)</f>
        <v>65175.769</v>
      </c>
    </row>
    <row r="201" customFormat="false" ht="15" hidden="false" customHeight="false" outlineLevel="0" collapsed="false">
      <c r="A201" s="0" t="n">
        <v>2006</v>
      </c>
      <c r="B201" s="0" t="s">
        <v>56</v>
      </c>
      <c r="C201" s="0" t="n">
        <v>64740.953</v>
      </c>
      <c r="D201" s="0" t="n">
        <v>6087.154</v>
      </c>
      <c r="E201" s="24" t="n">
        <f aca="false">D201/F201</f>
        <v>0.0859426329154893</v>
      </c>
      <c r="F201" s="0" t="n">
        <f aca="false">SUM(C201:D201)</f>
        <v>70828.107</v>
      </c>
    </row>
    <row r="202" customFormat="false" ht="15" hidden="false" customHeight="false" outlineLevel="0" collapsed="false">
      <c r="A202" s="0" t="n">
        <v>2006</v>
      </c>
      <c r="B202" s="0" t="s">
        <v>57</v>
      </c>
      <c r="C202" s="0" t="n">
        <v>55474.065</v>
      </c>
      <c r="D202" s="0" t="n">
        <v>6549.214</v>
      </c>
      <c r="E202" s="24" t="n">
        <f aca="false">D202/F202</f>
        <v>0.105592837166832</v>
      </c>
      <c r="F202" s="0" t="n">
        <f aca="false">SUM(C202:D202)</f>
        <v>62023.279</v>
      </c>
    </row>
    <row r="203" customFormat="false" ht="15" hidden="false" customHeight="false" outlineLevel="0" collapsed="false">
      <c r="A203" s="0" t="n">
        <v>2006</v>
      </c>
      <c r="B203" s="0" t="s">
        <v>51</v>
      </c>
      <c r="C203" s="0" t="n">
        <v>64236.847</v>
      </c>
      <c r="D203" s="0" t="n">
        <v>8458.662</v>
      </c>
      <c r="E203" s="24" t="n">
        <f aca="false">D203/F203</f>
        <v>0.116357421749396</v>
      </c>
      <c r="F203" s="0" t="n">
        <f aca="false">SUM(C203:D203)</f>
        <v>72695.509</v>
      </c>
    </row>
    <row r="204" customFormat="false" ht="15" hidden="false" customHeight="false" outlineLevel="0" collapsed="false">
      <c r="A204" s="0" t="n">
        <v>2006</v>
      </c>
      <c r="B204" s="0" t="s">
        <v>50</v>
      </c>
      <c r="C204" s="0" t="n">
        <v>64584.82</v>
      </c>
      <c r="D204" s="0" t="n">
        <v>5014.809</v>
      </c>
      <c r="E204" s="24" t="n">
        <f aca="false">D204/F204</f>
        <v>0.0720522375198293</v>
      </c>
      <c r="F204" s="0" t="n">
        <f aca="false">SUM(C204:D204)</f>
        <v>69599.629</v>
      </c>
    </row>
    <row r="205" customFormat="false" ht="15" hidden="false" customHeight="false" outlineLevel="0" collapsed="false">
      <c r="A205" s="0" t="n">
        <v>2006</v>
      </c>
      <c r="B205" s="0" t="s">
        <v>60</v>
      </c>
      <c r="C205" s="0" t="n">
        <v>64776.873</v>
      </c>
      <c r="D205" s="0" t="n">
        <v>9255.634</v>
      </c>
      <c r="E205" s="24" t="n">
        <f aca="false">D205/F205</f>
        <v>0.125021215342606</v>
      </c>
      <c r="F205" s="0" t="n">
        <f aca="false">SUM(C205:D205)</f>
        <v>74032.507</v>
      </c>
    </row>
    <row r="206" customFormat="false" ht="15" hidden="false" customHeight="false" outlineLevel="0" collapsed="false">
      <c r="A206" s="0" t="n">
        <v>2007</v>
      </c>
      <c r="B206" s="0" t="s">
        <v>50</v>
      </c>
      <c r="C206" s="0" t="n">
        <v>59613.03823</v>
      </c>
      <c r="D206" s="0" t="n">
        <v>14448.77427</v>
      </c>
      <c r="E206" s="24" t="n">
        <f aca="false">D206/F206</f>
        <v>0.195090746260092</v>
      </c>
      <c r="F206" s="0" t="n">
        <f aca="false">SUM(C206:D206)</f>
        <v>74061.8125</v>
      </c>
    </row>
    <row r="207" customFormat="false" ht="15" hidden="false" customHeight="false" outlineLevel="0" collapsed="false">
      <c r="A207" s="0" t="n">
        <v>2007</v>
      </c>
      <c r="B207" s="0" t="s">
        <v>49</v>
      </c>
      <c r="C207" s="0" t="n">
        <v>59036.09843</v>
      </c>
      <c r="D207" s="0" t="n">
        <v>6703.745904</v>
      </c>
      <c r="E207" s="24" t="n">
        <f aca="false">D207/F207</f>
        <v>0.101973863368777</v>
      </c>
      <c r="F207" s="0" t="n">
        <f aca="false">SUM(C207:D207)</f>
        <v>65739.844334</v>
      </c>
    </row>
    <row r="208" customFormat="false" ht="15" hidden="false" customHeight="false" outlineLevel="0" collapsed="false">
      <c r="A208" s="0" t="n">
        <v>2007</v>
      </c>
      <c r="B208" s="0" t="s">
        <v>60</v>
      </c>
      <c r="C208" s="0" t="n">
        <v>65195.17146</v>
      </c>
      <c r="D208" s="0" t="n">
        <v>6618.271883</v>
      </c>
      <c r="E208" s="24" t="n">
        <f aca="false">D208/F208</f>
        <v>0.092159233353975</v>
      </c>
      <c r="F208" s="0" t="n">
        <f aca="false">SUM(C208:D208)</f>
        <v>71813.443343</v>
      </c>
    </row>
    <row r="209" customFormat="false" ht="15" hidden="false" customHeight="false" outlineLevel="0" collapsed="false">
      <c r="A209" s="0" t="n">
        <v>2007</v>
      </c>
      <c r="B209" s="0" t="s">
        <v>58</v>
      </c>
      <c r="C209" s="0" t="n">
        <v>57155.83041</v>
      </c>
      <c r="D209" s="0" t="n">
        <v>9042.243751</v>
      </c>
      <c r="E209" s="24" t="n">
        <f aca="false">D209/F209</f>
        <v>0.136593758437872</v>
      </c>
      <c r="F209" s="0" t="n">
        <f aca="false">SUM(C209:D209)</f>
        <v>66198.074161</v>
      </c>
    </row>
    <row r="210" customFormat="false" ht="15" hidden="false" customHeight="false" outlineLevel="0" collapsed="false">
      <c r="A210" s="0" t="n">
        <v>2007</v>
      </c>
      <c r="B210" s="0" t="s">
        <v>55</v>
      </c>
      <c r="C210" s="0" t="n">
        <v>62921.51707</v>
      </c>
      <c r="D210" s="0" t="n">
        <v>9565.335827</v>
      </c>
      <c r="E210" s="24" t="n">
        <f aca="false">D210/F210</f>
        <v>0.131959596046911</v>
      </c>
      <c r="F210" s="0" t="n">
        <f aca="false">SUM(C210:D210)</f>
        <v>72486.852897</v>
      </c>
    </row>
    <row r="211" customFormat="false" ht="15" hidden="false" customHeight="false" outlineLevel="0" collapsed="false">
      <c r="A211" s="0" t="n">
        <v>2007</v>
      </c>
      <c r="B211" s="0" t="s">
        <v>54</v>
      </c>
      <c r="C211" s="0" t="n">
        <v>64469.29799</v>
      </c>
      <c r="D211" s="0" t="n">
        <v>6366.995179</v>
      </c>
      <c r="E211" s="24" t="n">
        <f aca="false">D211/F211</f>
        <v>0.0898832349091127</v>
      </c>
      <c r="F211" s="0" t="n">
        <f aca="false">SUM(C211:D211)</f>
        <v>70836.293169</v>
      </c>
    </row>
    <row r="212" customFormat="false" ht="15" hidden="false" customHeight="false" outlineLevel="0" collapsed="false">
      <c r="A212" s="0" t="n">
        <v>2007</v>
      </c>
      <c r="B212" s="0" t="s">
        <v>53</v>
      </c>
      <c r="C212" s="0" t="n">
        <v>60931.49336</v>
      </c>
      <c r="D212" s="0" t="n">
        <v>13674.06751</v>
      </c>
      <c r="E212" s="24" t="n">
        <f aca="false">D212/F212</f>
        <v>0.183284829582972</v>
      </c>
      <c r="F212" s="0" t="n">
        <f aca="false">SUM(C212:D212)</f>
        <v>74605.56087</v>
      </c>
    </row>
    <row r="213" customFormat="false" ht="15" hidden="false" customHeight="false" outlineLevel="0" collapsed="false">
      <c r="A213" s="0" t="n">
        <v>2007</v>
      </c>
      <c r="B213" s="0" t="s">
        <v>52</v>
      </c>
      <c r="C213" s="0" t="n">
        <v>56806.68445</v>
      </c>
      <c r="D213" s="0" t="n">
        <v>18020.89149</v>
      </c>
      <c r="E213" s="24" t="n">
        <f aca="false">D213/F213</f>
        <v>0.240832223463312</v>
      </c>
      <c r="F213" s="0" t="n">
        <f aca="false">SUM(C213:D213)</f>
        <v>74827.57594</v>
      </c>
    </row>
    <row r="214" customFormat="false" ht="15" hidden="false" customHeight="false" outlineLevel="0" collapsed="false">
      <c r="A214" s="0" t="n">
        <v>2007</v>
      </c>
      <c r="B214" s="0" t="s">
        <v>59</v>
      </c>
      <c r="C214" s="0" t="n">
        <v>63114.30543</v>
      </c>
      <c r="D214" s="0" t="n">
        <v>16792.41305</v>
      </c>
      <c r="E214" s="24" t="n">
        <f aca="false">D214/F214</f>
        <v>0.210150202253682</v>
      </c>
      <c r="F214" s="0" t="n">
        <f aca="false">SUM(C214:D214)</f>
        <v>79906.71848</v>
      </c>
    </row>
    <row r="215" customFormat="false" ht="15" hidden="false" customHeight="false" outlineLevel="0" collapsed="false">
      <c r="A215" s="0" t="n">
        <v>2007</v>
      </c>
      <c r="B215" s="0" t="s">
        <v>51</v>
      </c>
      <c r="C215" s="0" t="n">
        <v>56513.91482</v>
      </c>
      <c r="D215" s="0" t="n">
        <v>20956.6756</v>
      </c>
      <c r="E215" s="24" t="n">
        <f aca="false">D215/F215</f>
        <v>0.270511370655435</v>
      </c>
      <c r="F215" s="0" t="n">
        <f aca="false">SUM(C215:D215)</f>
        <v>77470.59042</v>
      </c>
    </row>
    <row r="216" customFormat="false" ht="15" hidden="false" customHeight="false" outlineLevel="0" collapsed="false">
      <c r="A216" s="0" t="n">
        <v>2007</v>
      </c>
      <c r="B216" s="0" t="s">
        <v>57</v>
      </c>
      <c r="C216" s="0" t="n">
        <v>56196.8689</v>
      </c>
      <c r="D216" s="0" t="n">
        <v>20589.68869</v>
      </c>
      <c r="E216" s="24" t="n">
        <f aca="false">D216/F216</f>
        <v>0.268141838053715</v>
      </c>
      <c r="F216" s="0" t="n">
        <f aca="false">SUM(C216:D216)</f>
        <v>76786.55759</v>
      </c>
    </row>
    <row r="217" customFormat="false" ht="15" hidden="false" customHeight="false" outlineLevel="0" collapsed="false">
      <c r="A217" s="0" t="n">
        <v>2007</v>
      </c>
      <c r="B217" s="0" t="s">
        <v>56</v>
      </c>
      <c r="C217" s="0" t="n">
        <v>69736.04265</v>
      </c>
      <c r="D217" s="0" t="n">
        <v>7442.27739</v>
      </c>
      <c r="E217" s="24" t="n">
        <f aca="false">D217/F217</f>
        <v>0.096429637055365</v>
      </c>
      <c r="F217" s="0" t="n">
        <f aca="false">SUM(C217:D217)</f>
        <v>77178.32004</v>
      </c>
    </row>
    <row r="218" customFormat="false" ht="15" hidden="false" customHeight="false" outlineLevel="0" collapsed="false">
      <c r="A218" s="0" t="n">
        <v>2008</v>
      </c>
      <c r="B218" s="0" t="s">
        <v>51</v>
      </c>
      <c r="C218" s="0" t="n">
        <v>68392.83258</v>
      </c>
      <c r="D218" s="0" t="n">
        <v>14113.89765</v>
      </c>
      <c r="E218" s="24" t="n">
        <f aca="false">D218/F218</f>
        <v>0.171063592153699</v>
      </c>
      <c r="F218" s="0" t="n">
        <f aca="false">SUM(C218:D218)</f>
        <v>82506.73023</v>
      </c>
    </row>
    <row r="219" customFormat="false" ht="15" hidden="false" customHeight="false" outlineLevel="0" collapsed="false">
      <c r="A219" s="0" t="n">
        <v>2008</v>
      </c>
      <c r="B219" s="0" t="s">
        <v>50</v>
      </c>
      <c r="C219" s="0" t="n">
        <v>70523.44271</v>
      </c>
      <c r="D219" s="0" t="n">
        <v>14562.39624</v>
      </c>
      <c r="E219" s="24" t="n">
        <f aca="false">D219/F219</f>
        <v>0.171149469990623</v>
      </c>
      <c r="F219" s="0" t="n">
        <f aca="false">SUM(C219:D219)</f>
        <v>85085.83895</v>
      </c>
    </row>
    <row r="220" customFormat="false" ht="15" hidden="false" customHeight="false" outlineLevel="0" collapsed="false">
      <c r="A220" s="0" t="n">
        <v>2008</v>
      </c>
      <c r="B220" s="0" t="s">
        <v>58</v>
      </c>
      <c r="C220" s="0" t="n">
        <v>55539.58933</v>
      </c>
      <c r="D220" s="0" t="n">
        <v>17140.77718</v>
      </c>
      <c r="E220" s="24" t="n">
        <f aca="false">D220/F220</f>
        <v>0.235837792282481</v>
      </c>
      <c r="F220" s="0" t="n">
        <f aca="false">SUM(C220:D220)</f>
        <v>72680.36651</v>
      </c>
    </row>
    <row r="221" customFormat="false" ht="15" hidden="false" customHeight="false" outlineLevel="0" collapsed="false">
      <c r="A221" s="0" t="n">
        <v>2008</v>
      </c>
      <c r="B221" s="0" t="s">
        <v>59</v>
      </c>
      <c r="C221" s="0" t="n">
        <v>67460.19589</v>
      </c>
      <c r="D221" s="0" t="n">
        <v>15298.64879</v>
      </c>
      <c r="E221" s="24" t="n">
        <f aca="false">D221/F221</f>
        <v>0.18485817255128</v>
      </c>
      <c r="F221" s="0" t="n">
        <f aca="false">SUM(C221:D221)</f>
        <v>82758.84468</v>
      </c>
    </row>
    <row r="222" customFormat="false" ht="15" hidden="false" customHeight="false" outlineLevel="0" collapsed="false">
      <c r="A222" s="0" t="n">
        <v>2008</v>
      </c>
      <c r="B222" s="0" t="s">
        <v>52</v>
      </c>
      <c r="C222" s="0" t="n">
        <v>63363.99002</v>
      </c>
      <c r="D222" s="0" t="n">
        <v>13737.91775</v>
      </c>
      <c r="E222" s="24" t="n">
        <f aca="false">D222/F222</f>
        <v>0.17817870072659</v>
      </c>
      <c r="F222" s="0" t="n">
        <f aca="false">SUM(C222:D222)</f>
        <v>77101.90777</v>
      </c>
    </row>
    <row r="223" customFormat="false" ht="15" hidden="false" customHeight="false" outlineLevel="0" collapsed="false">
      <c r="A223" s="0" t="n">
        <v>2008</v>
      </c>
      <c r="B223" s="0" t="s">
        <v>53</v>
      </c>
      <c r="C223" s="0" t="n">
        <v>64421.62237</v>
      </c>
      <c r="D223" s="0" t="n">
        <v>14121.52344</v>
      </c>
      <c r="E223" s="24" t="n">
        <f aca="false">D223/F223</f>
        <v>0.179793198940118</v>
      </c>
      <c r="F223" s="0" t="n">
        <f aca="false">SUM(C223:D223)</f>
        <v>78543.14581</v>
      </c>
    </row>
    <row r="224" customFormat="false" ht="15" hidden="false" customHeight="false" outlineLevel="0" collapsed="false">
      <c r="A224" s="0" t="n">
        <v>2008</v>
      </c>
      <c r="B224" s="0" t="s">
        <v>54</v>
      </c>
      <c r="C224" s="0" t="n">
        <v>65839.77465</v>
      </c>
      <c r="D224" s="0" t="n">
        <v>12986.42124</v>
      </c>
      <c r="E224" s="24" t="n">
        <f aca="false">D224/F224</f>
        <v>0.164747532129068</v>
      </c>
      <c r="F224" s="0" t="n">
        <f aca="false">SUM(C224:D224)</f>
        <v>78826.19589</v>
      </c>
    </row>
    <row r="225" customFormat="false" ht="15" hidden="false" customHeight="false" outlineLevel="0" collapsed="false">
      <c r="A225" s="0" t="n">
        <v>2008</v>
      </c>
      <c r="B225" s="0" t="s">
        <v>55</v>
      </c>
      <c r="C225" s="0" t="n">
        <v>63176.08191</v>
      </c>
      <c r="D225" s="0" t="n">
        <v>14306.6087</v>
      </c>
      <c r="E225" s="24" t="n">
        <f aca="false">D225/F225</f>
        <v>0.184642641954842</v>
      </c>
      <c r="F225" s="0" t="n">
        <f aca="false">SUM(C225:D225)</f>
        <v>77482.69061</v>
      </c>
    </row>
    <row r="226" customFormat="false" ht="15" hidden="false" customHeight="false" outlineLevel="0" collapsed="false">
      <c r="A226" s="0" t="n">
        <v>2008</v>
      </c>
      <c r="B226" s="0" t="s">
        <v>56</v>
      </c>
      <c r="C226" s="0" t="n">
        <v>67367.38137</v>
      </c>
      <c r="D226" s="0" t="n">
        <v>17318.15013</v>
      </c>
      <c r="E226" s="24" t="n">
        <f aca="false">D226/F226</f>
        <v>0.204499515126737</v>
      </c>
      <c r="F226" s="0" t="n">
        <f aca="false">SUM(C226:D226)</f>
        <v>84685.5315</v>
      </c>
    </row>
    <row r="227" customFormat="false" ht="15" hidden="false" customHeight="false" outlineLevel="0" collapsed="false">
      <c r="A227" s="0" t="n">
        <v>2008</v>
      </c>
      <c r="B227" s="0" t="s">
        <v>57</v>
      </c>
      <c r="C227" s="0" t="n">
        <v>57385.78052</v>
      </c>
      <c r="D227" s="0" t="n">
        <v>13730.42304</v>
      </c>
      <c r="E227" s="24" t="n">
        <f aca="false">D227/F227</f>
        <v>0.193070247744817</v>
      </c>
      <c r="F227" s="0" t="n">
        <f aca="false">SUM(C227:D227)</f>
        <v>71116.20356</v>
      </c>
    </row>
    <row r="228" customFormat="false" ht="15" hidden="false" customHeight="false" outlineLevel="0" collapsed="false">
      <c r="A228" s="0" t="n">
        <v>2008</v>
      </c>
      <c r="B228" s="0" t="s">
        <v>49</v>
      </c>
      <c r="C228" s="0" t="n">
        <v>62338.30622</v>
      </c>
      <c r="D228" s="0" t="n">
        <v>15524.46266</v>
      </c>
      <c r="E228" s="24" t="n">
        <f aca="false">D228/F228</f>
        <v>0.199382360572431</v>
      </c>
      <c r="F228" s="0" t="n">
        <f aca="false">SUM(C228:D228)</f>
        <v>77862.76888</v>
      </c>
    </row>
    <row r="229" customFormat="false" ht="15" hidden="false" customHeight="false" outlineLevel="0" collapsed="false">
      <c r="A229" s="0" t="n">
        <v>2008</v>
      </c>
      <c r="B229" s="0" t="s">
        <v>60</v>
      </c>
      <c r="C229" s="0" t="n">
        <v>67280.438</v>
      </c>
      <c r="D229" s="0" t="n">
        <v>11934.64193</v>
      </c>
      <c r="E229" s="24" t="n">
        <f aca="false">D229/F229</f>
        <v>0.150661236983492</v>
      </c>
      <c r="F229" s="0" t="n">
        <f aca="false">SUM(C229:D229)</f>
        <v>79215.07993</v>
      </c>
    </row>
    <row r="230" customFormat="false" ht="15" hidden="false" customHeight="false" outlineLevel="0" collapsed="false">
      <c r="A230" s="0" t="n">
        <v>2009</v>
      </c>
      <c r="B230" s="0" t="s">
        <v>58</v>
      </c>
      <c r="C230" s="0" t="n">
        <v>54375.92127</v>
      </c>
      <c r="D230" s="0" t="n">
        <v>17302.916</v>
      </c>
      <c r="E230" s="24" t="n">
        <f aca="false">D230/F230</f>
        <v>0.2413950429305</v>
      </c>
      <c r="F230" s="0" t="n">
        <f aca="false">SUM(C230:D230)</f>
        <v>71678.83727</v>
      </c>
    </row>
    <row r="231" customFormat="false" ht="15" hidden="false" customHeight="false" outlineLevel="0" collapsed="false">
      <c r="A231" s="0" t="n">
        <v>2009</v>
      </c>
      <c r="B231" s="0" t="s">
        <v>57</v>
      </c>
      <c r="C231" s="0" t="n">
        <v>56039.03118</v>
      </c>
      <c r="D231" s="0" t="n">
        <v>23808.933</v>
      </c>
      <c r="E231" s="24" t="n">
        <f aca="false">D231/F231</f>
        <v>0.298178334845556</v>
      </c>
      <c r="F231" s="0" t="n">
        <f aca="false">SUM(C231:D231)</f>
        <v>79847.96418</v>
      </c>
    </row>
    <row r="232" customFormat="false" ht="15" hidden="false" customHeight="false" outlineLevel="0" collapsed="false">
      <c r="A232" s="0" t="n">
        <v>2009</v>
      </c>
      <c r="B232" s="0" t="s">
        <v>56</v>
      </c>
      <c r="C232" s="0" t="n">
        <v>64672.93009</v>
      </c>
      <c r="D232" s="0" t="n">
        <v>24183</v>
      </c>
      <c r="E232" s="24" t="n">
        <f aca="false">D232/F232</f>
        <v>0.272159663125529</v>
      </c>
      <c r="F232" s="0" t="n">
        <f aca="false">SUM(C232:D232)</f>
        <v>88855.93009</v>
      </c>
    </row>
    <row r="233" customFormat="false" ht="15" hidden="false" customHeight="false" outlineLevel="0" collapsed="false">
      <c r="A233" s="0" t="n">
        <v>2009</v>
      </c>
      <c r="B233" s="0" t="s">
        <v>55</v>
      </c>
      <c r="C233" s="0" t="n">
        <v>64076</v>
      </c>
      <c r="D233" s="0" t="n">
        <v>22899.94</v>
      </c>
      <c r="E233" s="24" t="n">
        <f aca="false">D233/F233</f>
        <v>0.263290514595186</v>
      </c>
      <c r="F233" s="0" t="n">
        <f aca="false">SUM(C233:D233)</f>
        <v>86975.94</v>
      </c>
    </row>
    <row r="234" customFormat="false" ht="15" hidden="false" customHeight="false" outlineLevel="0" collapsed="false">
      <c r="A234" s="0" t="n">
        <v>2009</v>
      </c>
      <c r="B234" s="0" t="s">
        <v>54</v>
      </c>
      <c r="C234" s="0" t="n">
        <v>61559.562</v>
      </c>
      <c r="D234" s="0" t="n">
        <v>23707.681</v>
      </c>
      <c r="E234" s="24" t="n">
        <f aca="false">D234/F234</f>
        <v>0.27803972740153</v>
      </c>
      <c r="F234" s="0" t="n">
        <f aca="false">SUM(C234:D234)</f>
        <v>85267.243</v>
      </c>
    </row>
    <row r="235" customFormat="false" ht="15" hidden="false" customHeight="false" outlineLevel="0" collapsed="false">
      <c r="A235" s="0" t="n">
        <v>2009</v>
      </c>
      <c r="B235" s="0" t="s">
        <v>53</v>
      </c>
      <c r="C235" s="0" t="n">
        <v>62927</v>
      </c>
      <c r="D235" s="0" t="n">
        <v>22445.59951</v>
      </c>
      <c r="E235" s="24" t="n">
        <f aca="false">D235/F235</f>
        <v>0.26291338952811</v>
      </c>
      <c r="F235" s="0" t="n">
        <f aca="false">SUM(C235:D235)</f>
        <v>85372.59951</v>
      </c>
    </row>
    <row r="236" customFormat="false" ht="15" hidden="false" customHeight="false" outlineLevel="0" collapsed="false">
      <c r="A236" s="0" t="n">
        <v>2009</v>
      </c>
      <c r="B236" s="0" t="s">
        <v>52</v>
      </c>
      <c r="C236" s="0" t="n">
        <v>63005.6</v>
      </c>
      <c r="D236" s="0" t="n">
        <v>18900.75</v>
      </c>
      <c r="E236" s="24" t="n">
        <f aca="false">D236/F236</f>
        <v>0.230760496591534</v>
      </c>
      <c r="F236" s="0" t="n">
        <f aca="false">SUM(C236:D236)</f>
        <v>81906.35</v>
      </c>
    </row>
    <row r="237" customFormat="false" ht="15" hidden="false" customHeight="false" outlineLevel="0" collapsed="false">
      <c r="A237" s="0" t="n">
        <v>2009</v>
      </c>
      <c r="B237" s="0" t="s">
        <v>59</v>
      </c>
      <c r="C237" s="0" t="n">
        <v>62451.27</v>
      </c>
      <c r="D237" s="0" t="n">
        <v>18557.912</v>
      </c>
      <c r="E237" s="24" t="n">
        <f aca="false">D237/F237</f>
        <v>0.229084056175262</v>
      </c>
      <c r="F237" s="0" t="n">
        <f aca="false">SUM(C237:D237)</f>
        <v>81009.182</v>
      </c>
    </row>
    <row r="238" customFormat="false" ht="15" hidden="false" customHeight="false" outlineLevel="0" collapsed="false">
      <c r="A238" s="0" t="n">
        <v>2009</v>
      </c>
      <c r="B238" s="0" t="s">
        <v>51</v>
      </c>
      <c r="C238" s="0" t="n">
        <v>64321</v>
      </c>
      <c r="D238" s="0" t="n">
        <v>15251.379</v>
      </c>
      <c r="E238" s="24" t="n">
        <f aca="false">D238/F238</f>
        <v>0.191666746572953</v>
      </c>
      <c r="F238" s="0" t="n">
        <f aca="false">SUM(C238:D238)</f>
        <v>79572.379</v>
      </c>
    </row>
    <row r="239" customFormat="false" ht="15" hidden="false" customHeight="false" outlineLevel="0" collapsed="false">
      <c r="A239" s="0" t="n">
        <v>2009</v>
      </c>
      <c r="B239" s="0" t="s">
        <v>60</v>
      </c>
      <c r="C239" s="0" t="n">
        <v>73306.33</v>
      </c>
      <c r="D239" s="0" t="n">
        <v>14782</v>
      </c>
      <c r="E239" s="24" t="n">
        <f aca="false">D239/F239</f>
        <v>0.167808834609533</v>
      </c>
      <c r="F239" s="0" t="n">
        <f aca="false">SUM(C239:D239)</f>
        <v>88088.33</v>
      </c>
    </row>
    <row r="240" customFormat="false" ht="15" hidden="false" customHeight="false" outlineLevel="0" collapsed="false">
      <c r="A240" s="0" t="n">
        <v>2009</v>
      </c>
      <c r="B240" s="0" t="s">
        <v>49</v>
      </c>
      <c r="C240" s="0" t="n">
        <v>66068.228</v>
      </c>
      <c r="D240" s="0" t="n">
        <v>18622</v>
      </c>
      <c r="E240" s="24" t="n">
        <f aca="false">D240/F240</f>
        <v>0.219883691894182</v>
      </c>
      <c r="F240" s="0" t="n">
        <f aca="false">SUM(C240:D240)</f>
        <v>84690.228</v>
      </c>
    </row>
    <row r="241" customFormat="false" ht="15" hidden="false" customHeight="false" outlineLevel="0" collapsed="false">
      <c r="A241" s="0" t="n">
        <v>2009</v>
      </c>
      <c r="B241" s="0" t="s">
        <v>50</v>
      </c>
      <c r="C241" s="0" t="n">
        <v>68868.11</v>
      </c>
      <c r="D241" s="0" t="n">
        <v>18891.78</v>
      </c>
      <c r="E241" s="24" t="n">
        <f aca="false">D241/F241</f>
        <v>0.215266678205727</v>
      </c>
      <c r="F241" s="0" t="n">
        <f aca="false">SUM(C241:D241)</f>
        <v>87759.89</v>
      </c>
    </row>
    <row r="242" customFormat="false" ht="15" hidden="false" customHeight="false" outlineLevel="0" collapsed="false">
      <c r="A242" s="0" t="n">
        <v>2010</v>
      </c>
      <c r="B242" s="0" t="s">
        <v>54</v>
      </c>
      <c r="C242" s="0" t="n">
        <v>74775.291</v>
      </c>
      <c r="D242" s="0" t="n">
        <v>7414</v>
      </c>
      <c r="E242" s="24" t="n">
        <f aca="false">D242/F242</f>
        <v>0.0902063992740855</v>
      </c>
      <c r="F242" s="0" t="n">
        <f aca="false">SUM(C242:D242)</f>
        <v>82189.291</v>
      </c>
    </row>
    <row r="243" customFormat="false" ht="15" hidden="false" customHeight="false" outlineLevel="0" collapsed="false">
      <c r="A243" s="0" t="n">
        <v>2010</v>
      </c>
      <c r="B243" s="0" t="s">
        <v>55</v>
      </c>
      <c r="C243" s="0" t="n">
        <v>72739.629</v>
      </c>
      <c r="D243" s="0" t="n">
        <v>5172.264</v>
      </c>
      <c r="E243" s="24" t="n">
        <f aca="false">D243/F243</f>
        <v>0.0663860650902167</v>
      </c>
      <c r="F243" s="0" t="n">
        <f aca="false">SUM(C243:D243)</f>
        <v>77911.893</v>
      </c>
    </row>
    <row r="244" customFormat="false" ht="15" hidden="false" customHeight="false" outlineLevel="0" collapsed="false">
      <c r="A244" s="0" t="n">
        <v>2010</v>
      </c>
      <c r="B244" s="0" t="s">
        <v>56</v>
      </c>
      <c r="C244" s="0" t="n">
        <v>86663.368</v>
      </c>
      <c r="D244" s="0" t="n">
        <v>7675.582659</v>
      </c>
      <c r="E244" s="24" t="n">
        <f aca="false">D244/F244</f>
        <v>0.0813617557263739</v>
      </c>
      <c r="F244" s="0" t="n">
        <f aca="false">SUM(C244:D244)</f>
        <v>94338.950659</v>
      </c>
    </row>
    <row r="245" customFormat="false" ht="15" hidden="false" customHeight="false" outlineLevel="0" collapsed="false">
      <c r="A245" s="0" t="n">
        <v>2010</v>
      </c>
      <c r="B245" s="0" t="s">
        <v>57</v>
      </c>
      <c r="C245" s="0" t="n">
        <v>69976.528</v>
      </c>
      <c r="D245" s="0" t="n">
        <v>13411</v>
      </c>
      <c r="E245" s="24" t="n">
        <f aca="false">D245/F245</f>
        <v>0.160827408146696</v>
      </c>
      <c r="F245" s="0" t="n">
        <f aca="false">SUM(C245:D245)</f>
        <v>83387.528</v>
      </c>
    </row>
    <row r="246" customFormat="false" ht="15" hidden="false" customHeight="false" outlineLevel="0" collapsed="false">
      <c r="A246" s="0" t="n">
        <v>2010</v>
      </c>
      <c r="B246" s="0" t="s">
        <v>58</v>
      </c>
      <c r="C246" s="0" t="n">
        <v>62390</v>
      </c>
      <c r="D246" s="0" t="n">
        <v>10483.43596</v>
      </c>
      <c r="E246" s="24" t="n">
        <f aca="false">D246/F246</f>
        <v>0.143858126378923</v>
      </c>
      <c r="F246" s="0" t="n">
        <f aca="false">SUM(C246:D246)</f>
        <v>72873.43596</v>
      </c>
    </row>
    <row r="247" customFormat="false" ht="15" hidden="false" customHeight="false" outlineLevel="0" collapsed="false">
      <c r="A247" s="0" t="n">
        <v>2010</v>
      </c>
      <c r="B247" s="0" t="s">
        <v>52</v>
      </c>
      <c r="C247" s="0" t="n">
        <v>72268</v>
      </c>
      <c r="D247" s="0" t="n">
        <v>13263</v>
      </c>
      <c r="E247" s="24" t="n">
        <f aca="false">D247/F247</f>
        <v>0.155066584045551</v>
      </c>
      <c r="F247" s="0" t="n">
        <f aca="false">SUM(C247:D247)</f>
        <v>85531</v>
      </c>
    </row>
    <row r="248" customFormat="false" ht="15" hidden="false" customHeight="false" outlineLevel="0" collapsed="false">
      <c r="A248" s="0" t="n">
        <v>2010</v>
      </c>
      <c r="B248" s="0" t="s">
        <v>59</v>
      </c>
      <c r="C248" s="0" t="n">
        <v>76170</v>
      </c>
      <c r="D248" s="0" t="n">
        <v>14508</v>
      </c>
      <c r="E248" s="24" t="n">
        <f aca="false">D248/F248</f>
        <v>0.159994706544035</v>
      </c>
      <c r="F248" s="0" t="n">
        <f aca="false">SUM(C248:D248)</f>
        <v>90678</v>
      </c>
    </row>
    <row r="249" customFormat="false" ht="15" hidden="false" customHeight="false" outlineLevel="0" collapsed="false">
      <c r="A249" s="0" t="n">
        <v>2010</v>
      </c>
      <c r="B249" s="0" t="s">
        <v>51</v>
      </c>
      <c r="C249" s="0" t="n">
        <v>75123</v>
      </c>
      <c r="D249" s="0" t="n">
        <v>12868.793</v>
      </c>
      <c r="E249" s="24" t="n">
        <f aca="false">D249/F249</f>
        <v>0.146249923558212</v>
      </c>
      <c r="F249" s="0" t="n">
        <f aca="false">SUM(C249:D249)</f>
        <v>87991.793</v>
      </c>
    </row>
    <row r="250" customFormat="false" ht="15" hidden="false" customHeight="false" outlineLevel="0" collapsed="false">
      <c r="A250" s="0" t="n">
        <v>2010</v>
      </c>
      <c r="B250" s="0" t="s">
        <v>50</v>
      </c>
      <c r="C250" s="0" t="n">
        <v>76460.976</v>
      </c>
      <c r="D250" s="0" t="n">
        <v>15312</v>
      </c>
      <c r="E250" s="24" t="n">
        <f aca="false">D250/F250</f>
        <v>0.166846501741428</v>
      </c>
      <c r="F250" s="0" t="n">
        <f aca="false">SUM(C250:D250)</f>
        <v>91772.976</v>
      </c>
    </row>
    <row r="251" customFormat="false" ht="15" hidden="false" customHeight="false" outlineLevel="0" collapsed="false">
      <c r="A251" s="0" t="n">
        <v>2010</v>
      </c>
      <c r="B251" s="0" t="s">
        <v>60</v>
      </c>
      <c r="C251" s="0" t="n">
        <v>82883.743</v>
      </c>
      <c r="D251" s="0" t="n">
        <v>12329</v>
      </c>
      <c r="E251" s="24" t="n">
        <f aca="false">D251/F251</f>
        <v>0.129488969769519</v>
      </c>
      <c r="F251" s="0" t="n">
        <f aca="false">SUM(C251:D251)</f>
        <v>95212.743</v>
      </c>
    </row>
    <row r="252" customFormat="false" ht="15" hidden="false" customHeight="false" outlineLevel="0" collapsed="false">
      <c r="A252" s="0" t="n">
        <v>2010</v>
      </c>
      <c r="B252" s="0" t="s">
        <v>49</v>
      </c>
      <c r="C252" s="0" t="n">
        <v>75677.624</v>
      </c>
      <c r="D252" s="0" t="n">
        <v>11368.1643</v>
      </c>
      <c r="E252" s="24" t="n">
        <f aca="false">D252/F252</f>
        <v>0.13059982018682</v>
      </c>
      <c r="F252" s="0" t="n">
        <f aca="false">SUM(C252:D252)</f>
        <v>87045.7883</v>
      </c>
    </row>
    <row r="253" customFormat="false" ht="15" hidden="false" customHeight="false" outlineLevel="0" collapsed="false">
      <c r="A253" s="0" t="n">
        <v>2010</v>
      </c>
      <c r="B253" s="0" t="s">
        <v>53</v>
      </c>
      <c r="C253" s="0" t="n">
        <v>74438.752</v>
      </c>
      <c r="D253" s="0" t="n">
        <v>10329.3633</v>
      </c>
      <c r="E253" s="24" t="n">
        <f aca="false">D253/F253</f>
        <v>0.121854346571747</v>
      </c>
      <c r="F253" s="0" t="n">
        <f aca="false">SUM(C253:D253)</f>
        <v>84768.1153</v>
      </c>
    </row>
    <row r="254" customFormat="false" ht="15" hidden="false" customHeight="false" outlineLevel="0" collapsed="false">
      <c r="A254" s="0" t="n">
        <v>2011</v>
      </c>
      <c r="B254" s="0" t="s">
        <v>53</v>
      </c>
      <c r="C254" s="0" t="n">
        <v>83615</v>
      </c>
      <c r="D254" s="0" t="n">
        <v>6846</v>
      </c>
      <c r="E254" s="24" t="n">
        <f aca="false">D254/F254</f>
        <v>0.0756790218989399</v>
      </c>
      <c r="F254" s="0" t="n">
        <f aca="false">SUM(C254:D254)</f>
        <v>90461</v>
      </c>
    </row>
    <row r="255" customFormat="false" ht="15" hidden="false" customHeight="false" outlineLevel="0" collapsed="false">
      <c r="A255" s="0" t="n">
        <v>2011</v>
      </c>
      <c r="B255" s="0" t="s">
        <v>54</v>
      </c>
      <c r="C255" s="0" t="n">
        <v>85729</v>
      </c>
      <c r="D255" s="0" t="n">
        <v>8089</v>
      </c>
      <c r="E255" s="24" t="n">
        <f aca="false">D255/F255</f>
        <v>0.086220128333582</v>
      </c>
      <c r="F255" s="0" t="n">
        <f aca="false">SUM(C255:D255)</f>
        <v>93818</v>
      </c>
    </row>
    <row r="256" customFormat="false" ht="15" hidden="false" customHeight="false" outlineLevel="0" collapsed="false">
      <c r="A256" s="0" t="n">
        <v>2011</v>
      </c>
      <c r="B256" s="0" t="s">
        <v>55</v>
      </c>
      <c r="C256" s="0" t="n">
        <v>84804.941</v>
      </c>
      <c r="D256" s="0" t="n">
        <v>8693</v>
      </c>
      <c r="E256" s="24" t="n">
        <f aca="false">D256/F256</f>
        <v>0.0929753094776707</v>
      </c>
      <c r="F256" s="0" t="n">
        <f aca="false">SUM(C256:D256)</f>
        <v>93497.941</v>
      </c>
    </row>
    <row r="257" customFormat="false" ht="15" hidden="false" customHeight="false" outlineLevel="0" collapsed="false">
      <c r="A257" s="0" t="n">
        <v>2011</v>
      </c>
      <c r="B257" s="0" t="s">
        <v>56</v>
      </c>
      <c r="C257" s="0" t="n">
        <v>83453.227</v>
      </c>
      <c r="D257" s="0" t="n">
        <v>7531.186863</v>
      </c>
      <c r="E257" s="24" t="n">
        <f aca="false">D257/F257</f>
        <v>0.0827744724974555</v>
      </c>
      <c r="F257" s="0" t="n">
        <f aca="false">SUM(C257:D257)</f>
        <v>90984.413863</v>
      </c>
    </row>
    <row r="258" customFormat="false" ht="15" hidden="false" customHeight="false" outlineLevel="0" collapsed="false">
      <c r="A258" s="0" t="n">
        <v>2011</v>
      </c>
      <c r="B258" s="0" t="s">
        <v>57</v>
      </c>
      <c r="C258" s="0" t="n">
        <v>76108.8</v>
      </c>
      <c r="D258" s="0" t="n">
        <v>9362.259473</v>
      </c>
      <c r="E258" s="24" t="n">
        <f aca="false">D258/F258</f>
        <v>0.109537187566483</v>
      </c>
      <c r="F258" s="0" t="n">
        <f aca="false">SUM(C258:D258)</f>
        <v>85471.059473</v>
      </c>
    </row>
    <row r="259" customFormat="false" ht="15" hidden="false" customHeight="false" outlineLevel="0" collapsed="false">
      <c r="A259" s="0" t="n">
        <v>2011</v>
      </c>
      <c r="B259" s="0" t="s">
        <v>52</v>
      </c>
      <c r="C259" s="0" t="n">
        <v>79784</v>
      </c>
      <c r="D259" s="0" t="n">
        <v>8038</v>
      </c>
      <c r="E259" s="24" t="n">
        <f aca="false">D259/F259</f>
        <v>0.0915260413108333</v>
      </c>
      <c r="F259" s="0" t="n">
        <f aca="false">SUM(C259:D259)</f>
        <v>87822</v>
      </c>
    </row>
    <row r="260" customFormat="false" ht="15" hidden="false" customHeight="false" outlineLevel="0" collapsed="false">
      <c r="A260" s="0" t="n">
        <v>2011</v>
      </c>
      <c r="B260" s="0" t="s">
        <v>59</v>
      </c>
      <c r="C260" s="0" t="n">
        <v>89360.1</v>
      </c>
      <c r="D260" s="0" t="n">
        <v>8659.142372</v>
      </c>
      <c r="E260" s="24" t="n">
        <f aca="false">D260/F260</f>
        <v>0.0883412497633583</v>
      </c>
      <c r="F260" s="0" t="n">
        <f aca="false">SUM(C260:D260)</f>
        <v>98019.242372</v>
      </c>
    </row>
    <row r="261" customFormat="false" ht="15" hidden="false" customHeight="false" outlineLevel="0" collapsed="false">
      <c r="A261" s="0" t="n">
        <v>2011</v>
      </c>
      <c r="B261" s="0" t="s">
        <v>58</v>
      </c>
      <c r="C261" s="0" t="n">
        <v>66866</v>
      </c>
      <c r="D261" s="0" t="n">
        <v>6663.186863</v>
      </c>
      <c r="E261" s="24" t="n">
        <f aca="false">D261/F261</f>
        <v>0.0906196185116923</v>
      </c>
      <c r="F261" s="0" t="n">
        <f aca="false">SUM(C261:D261)</f>
        <v>73529.186863</v>
      </c>
    </row>
    <row r="262" customFormat="false" ht="15" hidden="false" customHeight="false" outlineLevel="0" collapsed="false">
      <c r="A262" s="0" t="n">
        <v>2011</v>
      </c>
      <c r="B262" s="0" t="s">
        <v>51</v>
      </c>
      <c r="C262" s="0" t="n">
        <v>87799</v>
      </c>
      <c r="D262" s="0" t="n">
        <v>5341.891</v>
      </c>
      <c r="E262" s="24" t="n">
        <f aca="false">D262/F262</f>
        <v>0.0573528011450953</v>
      </c>
      <c r="F262" s="0" t="n">
        <f aca="false">SUM(C262:D262)</f>
        <v>93140.891</v>
      </c>
    </row>
    <row r="263" customFormat="false" ht="15" hidden="false" customHeight="false" outlineLevel="0" collapsed="false">
      <c r="A263" s="0" t="n">
        <v>2011</v>
      </c>
      <c r="B263" s="0" t="s">
        <v>50</v>
      </c>
      <c r="C263" s="0" t="n">
        <v>86223.944</v>
      </c>
      <c r="D263" s="0" t="n">
        <v>6095</v>
      </c>
      <c r="E263" s="24" t="n">
        <f aca="false">D263/F263</f>
        <v>0.0660211191323852</v>
      </c>
      <c r="F263" s="0" t="n">
        <f aca="false">SUM(C263:D263)</f>
        <v>92318.944</v>
      </c>
    </row>
    <row r="264" customFormat="false" ht="15" hidden="false" customHeight="false" outlineLevel="0" collapsed="false">
      <c r="A264" s="0" t="n">
        <v>2011</v>
      </c>
      <c r="B264" s="0" t="s">
        <v>49</v>
      </c>
      <c r="C264" s="0" t="n">
        <v>87055</v>
      </c>
      <c r="D264" s="0" t="n">
        <v>3041.064659</v>
      </c>
      <c r="E264" s="24" t="n">
        <f aca="false">D264/F264</f>
        <v>0.0337535792546541</v>
      </c>
      <c r="F264" s="0" t="n">
        <f aca="false">SUM(C264:D264)</f>
        <v>90096.064659</v>
      </c>
    </row>
    <row r="265" customFormat="false" ht="15" hidden="false" customHeight="false" outlineLevel="0" collapsed="false">
      <c r="A265" s="0" t="n">
        <v>2011</v>
      </c>
      <c r="B265" s="0" t="s">
        <v>60</v>
      </c>
      <c r="C265" s="0" t="n">
        <v>91219.07</v>
      </c>
      <c r="D265" s="0" t="n">
        <v>5660.046</v>
      </c>
      <c r="E265" s="24" t="n">
        <f aca="false">D265/F265</f>
        <v>0.058423798995028</v>
      </c>
      <c r="F265" s="0" t="n">
        <f aca="false">SUM(C265:D265)</f>
        <v>96879.116</v>
      </c>
    </row>
    <row r="266" customFormat="false" ht="15" hidden="false" customHeight="false" outlineLevel="0" collapsed="false">
      <c r="A266" s="0" t="n">
        <v>2012</v>
      </c>
      <c r="B266" s="0" t="s">
        <v>50</v>
      </c>
      <c r="C266" s="0" t="n">
        <v>96397.608</v>
      </c>
      <c r="D266" s="0" t="n">
        <v>4982.781</v>
      </c>
      <c r="E266" s="24" t="n">
        <f aca="false">D266/F266</f>
        <v>0.0491493576731097</v>
      </c>
      <c r="F266" s="0" t="n">
        <f aca="false">SUM(C266:D266)</f>
        <v>101380.389</v>
      </c>
    </row>
    <row r="267" customFormat="false" ht="15" hidden="false" customHeight="false" outlineLevel="0" collapsed="false">
      <c r="A267" s="0" t="n">
        <v>2012</v>
      </c>
      <c r="B267" s="0" t="s">
        <v>49</v>
      </c>
      <c r="C267" s="0" t="n">
        <v>94140.123</v>
      </c>
      <c r="D267" s="0" t="n">
        <v>4685.5</v>
      </c>
      <c r="E267" s="24" t="n">
        <f aca="false">D267/F267</f>
        <v>0.0474117931945645</v>
      </c>
      <c r="F267" s="0" t="n">
        <f aca="false">SUM(C267:D267)</f>
        <v>98825.623</v>
      </c>
    </row>
    <row r="268" customFormat="false" ht="15" hidden="false" customHeight="false" outlineLevel="0" collapsed="false">
      <c r="A268" s="0" t="n">
        <v>2012</v>
      </c>
      <c r="B268" s="0" t="s">
        <v>57</v>
      </c>
      <c r="C268" s="0" t="n">
        <v>81323</v>
      </c>
      <c r="D268" s="0" t="n">
        <v>4784</v>
      </c>
      <c r="E268" s="24" t="n">
        <f aca="false">D268/F268</f>
        <v>0.0555587815160208</v>
      </c>
      <c r="F268" s="0" t="n">
        <f aca="false">SUM(C268:D268)</f>
        <v>86107</v>
      </c>
    </row>
    <row r="269" customFormat="false" ht="15" hidden="false" customHeight="false" outlineLevel="0" collapsed="false">
      <c r="A269" s="0" t="n">
        <v>2012</v>
      </c>
      <c r="B269" s="0" t="s">
        <v>56</v>
      </c>
      <c r="C269" s="0" t="n">
        <v>93703.1</v>
      </c>
      <c r="D269" s="0" t="n">
        <v>4437</v>
      </c>
      <c r="E269" s="24" t="n">
        <f aca="false">D269/F269</f>
        <v>0.0452108771032432</v>
      </c>
      <c r="F269" s="0" t="n">
        <f aca="false">SUM(C269:D269)</f>
        <v>98140.1</v>
      </c>
    </row>
    <row r="270" customFormat="false" ht="15" hidden="false" customHeight="false" outlineLevel="0" collapsed="false">
      <c r="A270" s="0" t="n">
        <v>2012</v>
      </c>
      <c r="B270" s="0" t="s">
        <v>55</v>
      </c>
      <c r="C270" s="0" t="n">
        <v>87770.274</v>
      </c>
      <c r="D270" s="0" t="n">
        <v>4686</v>
      </c>
      <c r="E270" s="24" t="n">
        <f aca="false">D270/F270</f>
        <v>0.0506834181961518</v>
      </c>
      <c r="F270" s="0" t="n">
        <f aca="false">SUM(C270:D270)</f>
        <v>92456.274</v>
      </c>
    </row>
    <row r="271" customFormat="false" ht="15" hidden="false" customHeight="false" outlineLevel="0" collapsed="false">
      <c r="A271" s="0" t="n">
        <v>2012</v>
      </c>
      <c r="B271" s="0" t="s">
        <v>54</v>
      </c>
      <c r="C271" s="0" t="n">
        <v>93357.716</v>
      </c>
      <c r="D271" s="0" t="n">
        <v>4900</v>
      </c>
      <c r="E271" s="24" t="n">
        <f aca="false">D271/F271</f>
        <v>0.0498688571185595</v>
      </c>
      <c r="F271" s="0" t="n">
        <f aca="false">SUM(C271:D271)</f>
        <v>98257.716</v>
      </c>
    </row>
    <row r="272" customFormat="false" ht="15" hidden="false" customHeight="false" outlineLevel="0" collapsed="false">
      <c r="A272" s="0" t="n">
        <v>2012</v>
      </c>
      <c r="B272" s="0" t="s">
        <v>53</v>
      </c>
      <c r="C272" s="0" t="n">
        <v>93944</v>
      </c>
      <c r="D272" s="0" t="n">
        <v>4674.765</v>
      </c>
      <c r="E272" s="24" t="n">
        <f aca="false">D272/F272</f>
        <v>0.0474023883791285</v>
      </c>
      <c r="F272" s="0" t="n">
        <f aca="false">SUM(C272:D272)</f>
        <v>98618.765</v>
      </c>
    </row>
    <row r="273" customFormat="false" ht="15" hidden="false" customHeight="false" outlineLevel="0" collapsed="false">
      <c r="A273" s="0" t="n">
        <v>2012</v>
      </c>
      <c r="B273" s="0" t="s">
        <v>52</v>
      </c>
      <c r="C273" s="0" t="n">
        <v>84649.32</v>
      </c>
      <c r="D273" s="0" t="n">
        <v>4414</v>
      </c>
      <c r="E273" s="24" t="n">
        <f aca="false">D273/F273</f>
        <v>0.0495602454523366</v>
      </c>
      <c r="F273" s="0" t="n">
        <f aca="false">SUM(C273:D273)</f>
        <v>89063.32</v>
      </c>
    </row>
    <row r="274" customFormat="false" ht="15" hidden="false" customHeight="false" outlineLevel="0" collapsed="false">
      <c r="A274" s="0" t="n">
        <v>2012</v>
      </c>
      <c r="B274" s="0" t="s">
        <v>59</v>
      </c>
      <c r="C274" s="0" t="n">
        <v>95156</v>
      </c>
      <c r="D274" s="0" t="n">
        <v>6319</v>
      </c>
      <c r="E274" s="24" t="n">
        <f aca="false">D274/F274</f>
        <v>0.0622714954422272</v>
      </c>
      <c r="F274" s="0" t="n">
        <f aca="false">SUM(C274:D274)</f>
        <v>101475</v>
      </c>
    </row>
    <row r="275" customFormat="false" ht="15" hidden="false" customHeight="false" outlineLevel="0" collapsed="false">
      <c r="A275" s="0" t="n">
        <v>2012</v>
      </c>
      <c r="B275" s="0" t="s">
        <v>58</v>
      </c>
      <c r="C275" s="0" t="n">
        <v>75651</v>
      </c>
      <c r="D275" s="0" t="n">
        <v>5068</v>
      </c>
      <c r="E275" s="24" t="n">
        <f aca="false">D275/F275</f>
        <v>0.0627857134008102</v>
      </c>
      <c r="F275" s="0" t="n">
        <f aca="false">SUM(C275:D275)</f>
        <v>80719</v>
      </c>
    </row>
    <row r="276" customFormat="false" ht="15" hidden="false" customHeight="false" outlineLevel="0" collapsed="false">
      <c r="A276" s="0" t="n">
        <v>2012</v>
      </c>
      <c r="B276" s="0" t="s">
        <v>51</v>
      </c>
      <c r="C276" s="0" t="n">
        <v>87574.86</v>
      </c>
      <c r="D276" s="0" t="n">
        <v>4912.038544</v>
      </c>
      <c r="E276" s="24" t="n">
        <f aca="false">D276/F276</f>
        <v>0.0531106418458084</v>
      </c>
      <c r="F276" s="0" t="n">
        <f aca="false">SUM(C276:D276)</f>
        <v>92486.898544</v>
      </c>
    </row>
    <row r="277" customFormat="false" ht="15" hidden="false" customHeight="false" outlineLevel="0" collapsed="false">
      <c r="A277" s="0" t="n">
        <v>2012</v>
      </c>
      <c r="B277" s="0" t="s">
        <v>60</v>
      </c>
      <c r="C277" s="0" t="n">
        <v>95411</v>
      </c>
      <c r="D277" s="0" t="n">
        <v>4270.544088</v>
      </c>
      <c r="E277" s="24" t="n">
        <f aca="false">D277/F277</f>
        <v>0.0428418733585218</v>
      </c>
      <c r="F277" s="0" t="n">
        <f aca="false">SUM(C277:D277)</f>
        <v>99681.544088</v>
      </c>
    </row>
    <row r="278" customFormat="false" ht="15" hidden="false" customHeight="false" outlineLevel="0" collapsed="false">
      <c r="A278" s="0" t="n">
        <v>2013</v>
      </c>
      <c r="B278" s="0" t="s">
        <v>50</v>
      </c>
      <c r="C278" s="0" t="n">
        <v>100874.5</v>
      </c>
      <c r="D278" s="0" t="n">
        <v>7212</v>
      </c>
      <c r="E278" s="24" t="n">
        <f aca="false">D278/F278</f>
        <v>0.0667243365267633</v>
      </c>
      <c r="F278" s="0" t="n">
        <f aca="false">SUM(C278:D278)</f>
        <v>108086.5</v>
      </c>
    </row>
    <row r="279" customFormat="false" ht="15" hidden="false" customHeight="false" outlineLevel="0" collapsed="false">
      <c r="A279" s="0" t="n">
        <v>2013</v>
      </c>
      <c r="B279" s="0" t="s">
        <v>51</v>
      </c>
      <c r="C279" s="0" t="n">
        <v>94218.057</v>
      </c>
      <c r="D279" s="0" t="n">
        <v>6655</v>
      </c>
      <c r="E279" s="24" t="n">
        <f aca="false">D279/F279</f>
        <v>0.0659740092936809</v>
      </c>
      <c r="F279" s="0" t="n">
        <f aca="false">SUM(C279:D279)</f>
        <v>100873.057</v>
      </c>
    </row>
    <row r="280" customFormat="false" ht="15" hidden="false" customHeight="false" outlineLevel="0" collapsed="false">
      <c r="A280" s="0" t="n">
        <v>2013</v>
      </c>
      <c r="B280" s="0" t="s">
        <v>59</v>
      </c>
      <c r="C280" s="0" t="n">
        <v>100566.773</v>
      </c>
      <c r="D280" s="0" t="n">
        <v>7025</v>
      </c>
      <c r="E280" s="24" t="n">
        <f aca="false">D280/F280</f>
        <v>0.0652930963411115</v>
      </c>
      <c r="F280" s="0" t="n">
        <f aca="false">SUM(C280:D280)</f>
        <v>107591.773</v>
      </c>
    </row>
    <row r="281" customFormat="false" ht="15" hidden="false" customHeight="false" outlineLevel="0" collapsed="false">
      <c r="A281" s="0" t="n">
        <v>2013</v>
      </c>
      <c r="B281" s="0" t="s">
        <v>52</v>
      </c>
      <c r="C281" s="0" t="n">
        <v>94351</v>
      </c>
      <c r="D281" s="0" t="n">
        <v>6251.35</v>
      </c>
      <c r="E281" s="24" t="n">
        <f aca="false">D281/F281</f>
        <v>0.0621392045016841</v>
      </c>
      <c r="F281" s="0" t="n">
        <f aca="false">SUM(C281:D281)</f>
        <v>100602.35</v>
      </c>
    </row>
    <row r="282" customFormat="false" ht="15" hidden="false" customHeight="false" outlineLevel="0" collapsed="false">
      <c r="A282" s="0" t="n">
        <v>2013</v>
      </c>
      <c r="B282" s="0" t="s">
        <v>53</v>
      </c>
      <c r="C282" s="0" t="n">
        <v>92163</v>
      </c>
      <c r="D282" s="0" t="n">
        <v>6593.31</v>
      </c>
      <c r="E282" s="24" t="n">
        <f aca="false">D282/F282</f>
        <v>0.0667634301038587</v>
      </c>
      <c r="F282" s="0" t="n">
        <f aca="false">SUM(C282:D282)</f>
        <v>98756.31</v>
      </c>
    </row>
    <row r="283" customFormat="false" ht="15" hidden="false" customHeight="false" outlineLevel="0" collapsed="false">
      <c r="A283" s="0" t="n">
        <v>2013</v>
      </c>
      <c r="B283" s="0" t="s">
        <v>54</v>
      </c>
      <c r="C283" s="0" t="n">
        <v>96250.009</v>
      </c>
      <c r="D283" s="0" t="n">
        <v>6214</v>
      </c>
      <c r="E283" s="24" t="n">
        <f aca="false">D283/F283</f>
        <v>0.0606456848667711</v>
      </c>
      <c r="F283" s="0" t="n">
        <f aca="false">SUM(C283:D283)</f>
        <v>102464.009</v>
      </c>
    </row>
    <row r="284" customFormat="false" ht="15" hidden="false" customHeight="false" outlineLevel="0" collapsed="false">
      <c r="A284" s="0" t="n">
        <v>2013</v>
      </c>
      <c r="B284" s="0" t="s">
        <v>56</v>
      </c>
      <c r="C284" s="0" t="n">
        <v>93268</v>
      </c>
      <c r="D284" s="0" t="n">
        <v>6207.41</v>
      </c>
      <c r="E284" s="24" t="n">
        <f aca="false">D284/F284</f>
        <v>0.062401451775871</v>
      </c>
      <c r="F284" s="0" t="n">
        <f aca="false">SUM(C284:D284)</f>
        <v>99475.41</v>
      </c>
    </row>
    <row r="285" customFormat="false" ht="15" hidden="false" customHeight="false" outlineLevel="0" collapsed="false">
      <c r="A285" s="0" t="n">
        <v>2013</v>
      </c>
      <c r="B285" s="0" t="s">
        <v>57</v>
      </c>
      <c r="C285" s="0" t="n">
        <v>77177.419</v>
      </c>
      <c r="D285" s="0" t="n">
        <v>7205</v>
      </c>
      <c r="E285" s="24" t="n">
        <f aca="false">D285/F285</f>
        <v>0.0853850847769605</v>
      </c>
      <c r="F285" s="0" t="n">
        <f aca="false">SUM(C285:D285)</f>
        <v>84382.419</v>
      </c>
    </row>
    <row r="286" customFormat="false" ht="15" hidden="false" customHeight="false" outlineLevel="0" collapsed="false">
      <c r="A286" s="0" t="n">
        <v>2013</v>
      </c>
      <c r="B286" s="0" t="s">
        <v>58</v>
      </c>
      <c r="C286" s="0" t="n">
        <v>81217.5</v>
      </c>
      <c r="D286" s="0" t="n">
        <v>7106</v>
      </c>
      <c r="E286" s="24" t="n">
        <f aca="false">D286/F286</f>
        <v>0.0804542392455009</v>
      </c>
      <c r="F286" s="0" t="n">
        <f aca="false">SUM(C286:D286)</f>
        <v>88323.5</v>
      </c>
    </row>
    <row r="287" customFormat="false" ht="15" hidden="false" customHeight="false" outlineLevel="0" collapsed="false">
      <c r="A287" s="0" t="n">
        <v>2013</v>
      </c>
      <c r="B287" s="0" t="s">
        <v>49</v>
      </c>
      <c r="C287" s="0" t="n">
        <v>98506</v>
      </c>
      <c r="D287" s="0" t="n">
        <v>4234</v>
      </c>
      <c r="E287" s="24" t="n">
        <f aca="false">D287/F287</f>
        <v>0.0412108234378042</v>
      </c>
      <c r="F287" s="0" t="n">
        <f aca="false">SUM(C287:D287)</f>
        <v>102740</v>
      </c>
    </row>
    <row r="288" customFormat="false" ht="15" hidden="false" customHeight="false" outlineLevel="0" collapsed="false">
      <c r="A288" s="0" t="n">
        <v>2013</v>
      </c>
      <c r="B288" s="0" t="s">
        <v>55</v>
      </c>
      <c r="C288" s="0" t="n">
        <v>95929.5</v>
      </c>
      <c r="D288" s="0" t="n">
        <v>6390.203</v>
      </c>
      <c r="E288" s="24" t="n">
        <f aca="false">D288/F288</f>
        <v>0.062453298950643</v>
      </c>
      <c r="F288" s="0" t="n">
        <f aca="false">SUM(C288:D288)</f>
        <v>102319.703</v>
      </c>
    </row>
    <row r="289" customFormat="false" ht="15" hidden="false" customHeight="false" outlineLevel="0" collapsed="false">
      <c r="A289" s="0" t="n">
        <v>2013</v>
      </c>
      <c r="B289" s="0" t="s">
        <v>60</v>
      </c>
      <c r="C289" s="0" t="n">
        <v>98540.502</v>
      </c>
      <c r="D289" s="0" t="n">
        <v>6924</v>
      </c>
      <c r="E289" s="24" t="n">
        <f aca="false">D289/F289</f>
        <v>0.0656524220822661</v>
      </c>
      <c r="F289" s="0" t="n">
        <f aca="false">SUM(C289:D289)</f>
        <v>105464.502</v>
      </c>
    </row>
    <row r="290" customFormat="false" ht="15" hidden="false" customHeight="false" outlineLevel="0" collapsed="false">
      <c r="A290" s="0" t="n">
        <v>2014</v>
      </c>
      <c r="B290" s="0" t="s">
        <v>51</v>
      </c>
      <c r="C290" s="0" t="n">
        <v>103402.033</v>
      </c>
      <c r="D290" s="0" t="n">
        <v>5581</v>
      </c>
      <c r="E290" s="24" t="n">
        <f aca="false">D290/F290</f>
        <v>0.0512098062090087</v>
      </c>
      <c r="F290" s="0" t="n">
        <f aca="false">SUM(C290:D290)</f>
        <v>108983.033</v>
      </c>
    </row>
    <row r="291" customFormat="false" ht="15" hidden="false" customHeight="false" outlineLevel="0" collapsed="false">
      <c r="A291" s="0" t="n">
        <v>2014</v>
      </c>
      <c r="B291" s="0" t="s">
        <v>59</v>
      </c>
      <c r="C291" s="0" t="n">
        <v>100005.569</v>
      </c>
      <c r="D291" s="0" t="n">
        <v>6588</v>
      </c>
      <c r="E291" s="24" t="n">
        <f aca="false">D291/F291</f>
        <v>0.0618048542872225</v>
      </c>
      <c r="F291" s="0" t="n">
        <f aca="false">SUM(C291:D291)</f>
        <v>106593.569</v>
      </c>
    </row>
    <row r="292" customFormat="false" ht="15" hidden="false" customHeight="false" outlineLevel="0" collapsed="false">
      <c r="A292" s="0" t="n">
        <v>2014</v>
      </c>
      <c r="B292" s="0" t="s">
        <v>52</v>
      </c>
      <c r="C292" s="0" t="n">
        <v>96760.047</v>
      </c>
      <c r="D292" s="0" t="n">
        <v>6216</v>
      </c>
      <c r="E292" s="24" t="n">
        <f aca="false">D292/F292</f>
        <v>0.0603635523123159</v>
      </c>
      <c r="F292" s="0" t="n">
        <f aca="false">SUM(C292:D292)</f>
        <v>102976.047</v>
      </c>
    </row>
    <row r="293" customFormat="false" ht="15" hidden="false" customHeight="false" outlineLevel="0" collapsed="false">
      <c r="A293" s="0" t="n">
        <v>2014</v>
      </c>
      <c r="B293" s="0" t="s">
        <v>53</v>
      </c>
      <c r="C293" s="0" t="n">
        <v>90780.677</v>
      </c>
      <c r="D293" s="0" t="n">
        <v>5859</v>
      </c>
      <c r="E293" s="24" t="n">
        <f aca="false">D293/F293</f>
        <v>0.0606272721710359</v>
      </c>
      <c r="F293" s="0" t="n">
        <f aca="false">SUM(C293:D293)</f>
        <v>96639.677</v>
      </c>
    </row>
    <row r="294" customFormat="false" ht="15" hidden="false" customHeight="false" outlineLevel="0" collapsed="false">
      <c r="A294" s="0" t="n">
        <v>2014</v>
      </c>
      <c r="B294" s="0" t="s">
        <v>54</v>
      </c>
      <c r="C294" s="0" t="n">
        <v>102042.171</v>
      </c>
      <c r="D294" s="0" t="n">
        <v>5646</v>
      </c>
      <c r="E294" s="24" t="n">
        <f aca="false">D294/F294</f>
        <v>0.0524291567734027</v>
      </c>
      <c r="F294" s="0" t="n">
        <f aca="false">SUM(C294:D294)</f>
        <v>107688.171</v>
      </c>
    </row>
    <row r="295" customFormat="false" ht="15" hidden="false" customHeight="false" outlineLevel="0" collapsed="false">
      <c r="A295" s="0" t="n">
        <v>2014</v>
      </c>
      <c r="B295" s="0" t="s">
        <v>55</v>
      </c>
      <c r="C295" s="0" t="n">
        <v>100157.6</v>
      </c>
      <c r="D295" s="0" t="n">
        <v>5194</v>
      </c>
      <c r="E295" s="24" t="n">
        <f aca="false">D295/F295</f>
        <v>0.0493015768151599</v>
      </c>
      <c r="F295" s="0" t="n">
        <f aca="false">SUM(C295:D295)</f>
        <v>105351.6</v>
      </c>
    </row>
    <row r="296" customFormat="false" ht="15" hidden="false" customHeight="false" outlineLevel="0" collapsed="false">
      <c r="A296" s="0" t="n">
        <v>2014</v>
      </c>
      <c r="B296" s="0" t="s">
        <v>56</v>
      </c>
      <c r="C296" s="0" t="n">
        <v>96199.56</v>
      </c>
      <c r="D296" s="0" t="n">
        <v>5850.457</v>
      </c>
      <c r="E296" s="24" t="n">
        <f aca="false">D296/F296</f>
        <v>0.0573293094110901</v>
      </c>
      <c r="F296" s="0" t="n">
        <f aca="false">SUM(C296:D296)</f>
        <v>102050.017</v>
      </c>
    </row>
    <row r="297" customFormat="false" ht="15" hidden="false" customHeight="false" outlineLevel="0" collapsed="false">
      <c r="A297" s="0" t="n">
        <v>2014</v>
      </c>
      <c r="B297" s="0" t="s">
        <v>57</v>
      </c>
      <c r="C297" s="0" t="n">
        <v>91652</v>
      </c>
      <c r="D297" s="0" t="n">
        <v>6704.767472</v>
      </c>
      <c r="E297" s="24" t="n">
        <f aca="false">D297/F297</f>
        <v>0.0681678306874888</v>
      </c>
      <c r="F297" s="0" t="n">
        <f aca="false">SUM(C297:D297)</f>
        <v>98356.767472</v>
      </c>
    </row>
    <row r="298" customFormat="false" ht="15" hidden="false" customHeight="false" outlineLevel="0" collapsed="false">
      <c r="A298" s="0" t="n">
        <v>2014</v>
      </c>
      <c r="B298" s="0" t="s">
        <v>58</v>
      </c>
      <c r="C298" s="0" t="n">
        <v>86100.219</v>
      </c>
      <c r="D298" s="0" t="n">
        <v>6546.84</v>
      </c>
      <c r="E298" s="24" t="n">
        <f aca="false">D298/F298</f>
        <v>0.0706643046273061</v>
      </c>
      <c r="F298" s="0" t="n">
        <f aca="false">SUM(C298:D298)</f>
        <v>92647.059</v>
      </c>
    </row>
    <row r="299" customFormat="false" ht="15" hidden="false" customHeight="false" outlineLevel="0" collapsed="false">
      <c r="A299" s="0" t="n">
        <v>2014</v>
      </c>
      <c r="B299" s="0" t="s">
        <v>49</v>
      </c>
      <c r="C299" s="0" t="n">
        <v>96620.5</v>
      </c>
      <c r="D299" s="0" t="n">
        <v>6674</v>
      </c>
      <c r="E299" s="24" t="n">
        <f aca="false">D299/F299</f>
        <v>0.0646113781469488</v>
      </c>
      <c r="F299" s="0" t="n">
        <f aca="false">SUM(C299:D299)</f>
        <v>103294.5</v>
      </c>
    </row>
    <row r="300" customFormat="false" ht="15" hidden="false" customHeight="false" outlineLevel="0" collapsed="false">
      <c r="A300" s="0" t="n">
        <v>2014</v>
      </c>
      <c r="B300" s="0" t="s">
        <v>50</v>
      </c>
      <c r="C300" s="0" t="n">
        <v>105924.3</v>
      </c>
      <c r="D300" s="0" t="n">
        <v>5643</v>
      </c>
      <c r="E300" s="24" t="n">
        <f aca="false">D300/F300</f>
        <v>0.0505793364184667</v>
      </c>
      <c r="F300" s="0" t="n">
        <f aca="false">SUM(C300:D300)</f>
        <v>111567.3</v>
      </c>
    </row>
    <row r="301" customFormat="false" ht="15" hidden="false" customHeight="false" outlineLevel="0" collapsed="false">
      <c r="A301" s="0" t="n">
        <v>2014</v>
      </c>
      <c r="B301" s="0" t="s">
        <v>60</v>
      </c>
      <c r="C301" s="0" t="n">
        <v>102784</v>
      </c>
      <c r="D301" s="0" t="n">
        <v>7411</v>
      </c>
      <c r="E301" s="24" t="n">
        <f aca="false">D301/F301</f>
        <v>0.0672535051499614</v>
      </c>
      <c r="F301" s="0" t="n">
        <f aca="false">SUM(C301:D301)</f>
        <v>110195</v>
      </c>
    </row>
    <row r="302" customFormat="false" ht="15" hidden="false" customHeight="false" outlineLevel="0" collapsed="false">
      <c r="A302" s="0" t="n">
        <v>2015</v>
      </c>
      <c r="B302" s="0" t="s">
        <v>50</v>
      </c>
      <c r="C302" s="0" t="n">
        <v>98219.5</v>
      </c>
      <c r="D302" s="0" t="n">
        <v>6929</v>
      </c>
      <c r="E302" s="24" t="n">
        <f aca="false">D302/F302</f>
        <v>0.0658972786107267</v>
      </c>
      <c r="F302" s="0" t="n">
        <f aca="false">SUM(C302:D302)</f>
        <v>105148.5</v>
      </c>
    </row>
    <row r="303" customFormat="false" ht="15" hidden="false" customHeight="false" outlineLevel="0" collapsed="false">
      <c r="A303" s="0" t="n">
        <v>2015</v>
      </c>
      <c r="B303" s="0" t="s">
        <v>60</v>
      </c>
      <c r="C303" s="0" t="n">
        <v>102296.261</v>
      </c>
      <c r="D303" s="0" t="n">
        <v>11875.179</v>
      </c>
      <c r="E303" s="24" t="n">
        <f aca="false">D303/F303</f>
        <v>0.104011817666485</v>
      </c>
      <c r="F303" s="0" t="n">
        <f aca="false">SUM(C303:D303)</f>
        <v>114171.44</v>
      </c>
    </row>
    <row r="304" customFormat="false" ht="15" hidden="false" customHeight="false" outlineLevel="0" collapsed="false">
      <c r="A304" s="0" t="n">
        <v>2015</v>
      </c>
      <c r="B304" s="0" t="s">
        <v>49</v>
      </c>
      <c r="C304" s="0" t="n">
        <v>91368.88</v>
      </c>
      <c r="D304" s="0" t="n">
        <v>10105.501</v>
      </c>
      <c r="E304" s="24" t="n">
        <f aca="false">D304/F304</f>
        <v>0.099586722288062</v>
      </c>
      <c r="F304" s="0" t="n">
        <f aca="false">SUM(C304:D304)</f>
        <v>101474.381</v>
      </c>
    </row>
    <row r="305" customFormat="false" ht="15" hidden="false" customHeight="false" outlineLevel="0" collapsed="false">
      <c r="A305" s="0" t="n">
        <v>2015</v>
      </c>
      <c r="B305" s="0" t="s">
        <v>58</v>
      </c>
      <c r="C305" s="0" t="n">
        <v>89940.5</v>
      </c>
      <c r="D305" s="0" t="n">
        <v>10463</v>
      </c>
      <c r="E305" s="24" t="n">
        <f aca="false">D305/F305</f>
        <v>0.104209514608554</v>
      </c>
      <c r="F305" s="0" t="n">
        <f aca="false">SUM(C305:D305)</f>
        <v>100403.5</v>
      </c>
    </row>
    <row r="306" customFormat="false" ht="15" hidden="false" customHeight="false" outlineLevel="0" collapsed="false">
      <c r="A306" s="0" t="n">
        <v>2015</v>
      </c>
      <c r="B306" s="0" t="s">
        <v>56</v>
      </c>
      <c r="C306" s="0" t="n">
        <v>94582.5</v>
      </c>
      <c r="D306" s="0" t="n">
        <v>9210</v>
      </c>
      <c r="E306" s="24" t="n">
        <f aca="false">D306/F306</f>
        <v>0.0887347351687261</v>
      </c>
      <c r="F306" s="0" t="n">
        <f aca="false">SUM(C306:D306)</f>
        <v>103792.5</v>
      </c>
    </row>
    <row r="307" customFormat="false" ht="15" hidden="false" customHeight="false" outlineLevel="0" collapsed="false">
      <c r="A307" s="0" t="n">
        <v>2015</v>
      </c>
      <c r="B307" s="0" t="s">
        <v>55</v>
      </c>
      <c r="C307" s="0" t="n">
        <v>93805.583</v>
      </c>
      <c r="D307" s="0" t="n">
        <v>9499.417</v>
      </c>
      <c r="E307" s="24" t="n">
        <f aca="false">D307/F307</f>
        <v>0.0919550554184212</v>
      </c>
      <c r="F307" s="0" t="n">
        <f aca="false">SUM(C307:D307)</f>
        <v>103305</v>
      </c>
    </row>
    <row r="308" customFormat="false" ht="15" hidden="false" customHeight="false" outlineLevel="0" collapsed="false">
      <c r="A308" s="0" t="n">
        <v>2015</v>
      </c>
      <c r="B308" s="0" t="s">
        <v>53</v>
      </c>
      <c r="C308" s="0" t="n">
        <v>95541.16</v>
      </c>
      <c r="D308" s="0" t="n">
        <v>9936</v>
      </c>
      <c r="E308" s="24" t="n">
        <f aca="false">D308/F308</f>
        <v>0.0942004885228233</v>
      </c>
      <c r="F308" s="0" t="n">
        <f aca="false">SUM(C308:D308)</f>
        <v>105477.16</v>
      </c>
    </row>
    <row r="309" customFormat="false" ht="15" hidden="false" customHeight="false" outlineLevel="0" collapsed="false">
      <c r="A309" s="0" t="n">
        <v>2015</v>
      </c>
      <c r="B309" s="0" t="s">
        <v>54</v>
      </c>
      <c r="C309" s="0" t="n">
        <v>93644.809</v>
      </c>
      <c r="D309" s="0" t="n">
        <v>10874.5</v>
      </c>
      <c r="E309" s="24" t="n">
        <f aca="false">D309/F309</f>
        <v>0.104042976403528</v>
      </c>
      <c r="F309" s="0" t="n">
        <f aca="false">SUM(C309:D309)</f>
        <v>104519.309</v>
      </c>
    </row>
    <row r="310" customFormat="false" ht="15" hidden="false" customHeight="false" outlineLevel="0" collapsed="false">
      <c r="A310" s="0" t="n">
        <v>2015</v>
      </c>
      <c r="B310" s="0" t="s">
        <v>57</v>
      </c>
      <c r="C310" s="0" t="n">
        <v>79576</v>
      </c>
      <c r="D310" s="0" t="n">
        <v>7219.28</v>
      </c>
      <c r="E310" s="24" t="n">
        <f aca="false">D310/F310</f>
        <v>0.0831759515033536</v>
      </c>
      <c r="F310" s="0" t="n">
        <f aca="false">SUM(C310:D310)</f>
        <v>86795.28</v>
      </c>
    </row>
    <row r="311" customFormat="false" ht="15" hidden="false" customHeight="false" outlineLevel="0" collapsed="false">
      <c r="A311" s="0" t="n">
        <v>2015</v>
      </c>
      <c r="B311" s="0" t="s">
        <v>52</v>
      </c>
      <c r="C311" s="0" t="n">
        <v>92610</v>
      </c>
      <c r="D311" s="0" t="n">
        <v>7394.627</v>
      </c>
      <c r="E311" s="24" t="n">
        <f aca="false">D311/F311</f>
        <v>0.0739428486643923</v>
      </c>
      <c r="F311" s="0" t="n">
        <f aca="false">SUM(C311:D311)</f>
        <v>100004.627</v>
      </c>
    </row>
    <row r="312" customFormat="false" ht="15" hidden="false" customHeight="false" outlineLevel="0" collapsed="false">
      <c r="A312" s="0" t="n">
        <v>2015</v>
      </c>
      <c r="B312" s="0" t="s">
        <v>59</v>
      </c>
      <c r="C312" s="0" t="n">
        <v>94938.5</v>
      </c>
      <c r="D312" s="0" t="n">
        <v>9595.8</v>
      </c>
      <c r="E312" s="24" t="n">
        <f aca="false">D312/F312</f>
        <v>0.0917957072463297</v>
      </c>
      <c r="F312" s="0" t="n">
        <f aca="false">SUM(C312:D312)</f>
        <v>104534.3</v>
      </c>
    </row>
    <row r="313" customFormat="false" ht="15" hidden="false" customHeight="false" outlineLevel="0" collapsed="false">
      <c r="A313" s="0" t="n">
        <v>2015</v>
      </c>
      <c r="B313" s="0" t="s">
        <v>51</v>
      </c>
      <c r="C313" s="0" t="n">
        <v>95743.455</v>
      </c>
      <c r="D313" s="0" t="n">
        <v>9274.797</v>
      </c>
      <c r="E313" s="24" t="n">
        <f aca="false">D313/F313</f>
        <v>0.0883160481475163</v>
      </c>
      <c r="F313" s="0" t="n">
        <f aca="false">SUM(C313:D313)</f>
        <v>105018.252</v>
      </c>
    </row>
    <row r="314" customFormat="false" ht="15" hidden="false" customHeight="false" outlineLevel="0" collapsed="false">
      <c r="A314" s="0" t="n">
        <v>2016</v>
      </c>
      <c r="B314" s="0" t="s">
        <v>49</v>
      </c>
      <c r="C314" s="0" t="n">
        <v>108056.7</v>
      </c>
      <c r="D314" s="0" t="n">
        <v>3696.145</v>
      </c>
      <c r="E314" s="24" t="n">
        <f aca="false">D314/F314</f>
        <v>0.0330742810171857</v>
      </c>
      <c r="F314" s="0" t="n">
        <f aca="false">SUM(C314:D314)</f>
        <v>111752.845</v>
      </c>
    </row>
    <row r="315" customFormat="false" ht="15" hidden="false" customHeight="false" outlineLevel="0" collapsed="false">
      <c r="A315" s="0" t="n">
        <v>2016</v>
      </c>
      <c r="B315" s="0" t="s">
        <v>59</v>
      </c>
      <c r="C315" s="0" t="n">
        <v>105039.607</v>
      </c>
      <c r="D315" s="0" t="n">
        <v>3905.4</v>
      </c>
      <c r="E315" s="24" t="n">
        <f aca="false">D315/F315</f>
        <v>0.0358474436556785</v>
      </c>
      <c r="F315" s="0" t="n">
        <f aca="false">SUM(C315:D315)</f>
        <v>108945.007</v>
      </c>
    </row>
    <row r="316" customFormat="false" ht="15" hidden="false" customHeight="false" outlineLevel="0" collapsed="false">
      <c r="A316" s="0" t="n">
        <v>2016</v>
      </c>
      <c r="B316" s="0" t="s">
        <v>52</v>
      </c>
      <c r="C316" s="0" t="n">
        <v>95396.5</v>
      </c>
      <c r="D316" s="0" t="n">
        <v>4142.732</v>
      </c>
      <c r="E316" s="24" t="n">
        <f aca="false">D316/F316</f>
        <v>0.0416190874368008</v>
      </c>
      <c r="F316" s="0" t="n">
        <f aca="false">SUM(C316:D316)</f>
        <v>99539.232</v>
      </c>
    </row>
    <row r="317" customFormat="false" ht="15" hidden="false" customHeight="false" outlineLevel="0" collapsed="false">
      <c r="A317" s="0" t="n">
        <v>2016</v>
      </c>
      <c r="B317" s="0" t="s">
        <v>53</v>
      </c>
      <c r="C317" s="0" t="n">
        <v>98238.9</v>
      </c>
      <c r="D317" s="0" t="n">
        <v>4404.717</v>
      </c>
      <c r="E317" s="24" t="n">
        <f aca="false">D317/F317</f>
        <v>0.0429127219864047</v>
      </c>
      <c r="F317" s="0" t="n">
        <f aca="false">SUM(C317:D317)</f>
        <v>102643.617</v>
      </c>
    </row>
    <row r="318" customFormat="false" ht="15" hidden="false" customHeight="false" outlineLevel="0" collapsed="false">
      <c r="A318" s="0" t="n">
        <v>2016</v>
      </c>
      <c r="B318" s="0" t="s">
        <v>54</v>
      </c>
      <c r="C318" s="0" t="n">
        <v>97517.5</v>
      </c>
      <c r="D318" s="0" t="n">
        <v>3927.042</v>
      </c>
      <c r="E318" s="24" t="n">
        <f aca="false">D318/F318</f>
        <v>0.0387112201659898</v>
      </c>
      <c r="F318" s="0" t="n">
        <f aca="false">SUM(C318:D318)</f>
        <v>101444.542</v>
      </c>
    </row>
    <row r="319" customFormat="false" ht="15" hidden="false" customHeight="false" outlineLevel="0" collapsed="false">
      <c r="A319" s="0" t="n">
        <v>2016</v>
      </c>
      <c r="B319" s="0" t="s">
        <v>55</v>
      </c>
      <c r="C319" s="0" t="n">
        <v>97427.8</v>
      </c>
      <c r="D319" s="0" t="n">
        <v>3453.05</v>
      </c>
      <c r="E319" s="24" t="n">
        <f aca="false">D319/F319</f>
        <v>0.0342289939071687</v>
      </c>
      <c r="F319" s="0" t="n">
        <f aca="false">SUM(C319:D319)</f>
        <v>100880.85</v>
      </c>
    </row>
    <row r="320" customFormat="false" ht="15" hidden="false" customHeight="false" outlineLevel="0" collapsed="false">
      <c r="A320" s="0" t="n">
        <v>2016</v>
      </c>
      <c r="B320" s="0" t="s">
        <v>56</v>
      </c>
      <c r="C320" s="0" t="n">
        <v>101570.35</v>
      </c>
      <c r="D320" s="0" t="n">
        <v>5045</v>
      </c>
      <c r="E320" s="24" t="n">
        <f aca="false">D320/F320</f>
        <v>0.0473196401831444</v>
      </c>
      <c r="F320" s="0" t="n">
        <f aca="false">SUM(C320:D320)</f>
        <v>106615.35</v>
      </c>
    </row>
    <row r="321" customFormat="false" ht="15" hidden="false" customHeight="false" outlineLevel="0" collapsed="false">
      <c r="A321" s="0" t="n">
        <v>2016</v>
      </c>
      <c r="B321" s="0" t="s">
        <v>57</v>
      </c>
      <c r="C321" s="0" t="n">
        <v>88533.9</v>
      </c>
      <c r="D321" s="0" t="n">
        <v>2782.911</v>
      </c>
      <c r="E321" s="24" t="n">
        <f aca="false">D321/F321</f>
        <v>0.0304753415009204</v>
      </c>
      <c r="F321" s="0" t="n">
        <f aca="false">SUM(C321:D321)</f>
        <v>91316.811</v>
      </c>
    </row>
    <row r="322" customFormat="false" ht="15" hidden="false" customHeight="false" outlineLevel="0" collapsed="false">
      <c r="A322" s="0" t="n">
        <v>2016</v>
      </c>
      <c r="B322" s="0" t="s">
        <v>58</v>
      </c>
      <c r="C322" s="0" t="n">
        <v>79615</v>
      </c>
      <c r="D322" s="0" t="n">
        <v>3828</v>
      </c>
      <c r="E322" s="24" t="n">
        <f aca="false">D322/F322</f>
        <v>0.045875627673981</v>
      </c>
      <c r="F322" s="0" t="n">
        <f aca="false">SUM(C322:D322)</f>
        <v>83443</v>
      </c>
    </row>
    <row r="323" customFormat="false" ht="15" hidden="false" customHeight="false" outlineLevel="0" collapsed="false">
      <c r="A323" s="0" t="n">
        <v>2016</v>
      </c>
      <c r="B323" s="0" t="s">
        <v>50</v>
      </c>
      <c r="C323" s="0" t="n">
        <v>107782.83</v>
      </c>
      <c r="D323" s="0" t="n">
        <v>2999.4</v>
      </c>
      <c r="E323" s="24" t="n">
        <f aca="false">D323/F323</f>
        <v>0.0270747393331945</v>
      </c>
      <c r="F323" s="0" t="n">
        <f aca="false">SUM(C323:D323)</f>
        <v>110782.23</v>
      </c>
    </row>
    <row r="324" customFormat="false" ht="15" hidden="false" customHeight="false" outlineLevel="0" collapsed="false">
      <c r="A324" s="0" t="n">
        <v>2016</v>
      </c>
      <c r="B324" s="0" t="s">
        <v>51</v>
      </c>
      <c r="C324" s="0" t="n">
        <v>104076.317</v>
      </c>
      <c r="D324" s="0" t="n">
        <v>2617.953</v>
      </c>
      <c r="E324" s="24" t="n">
        <f aca="false">D324/F324</f>
        <v>0.0245369596699054</v>
      </c>
      <c r="F324" s="0" t="n">
        <f aca="false">SUM(C324:D324)</f>
        <v>106694.27</v>
      </c>
    </row>
    <row r="325" customFormat="false" ht="15" hidden="false" customHeight="false" outlineLevel="0" collapsed="false">
      <c r="A325" s="0" t="n">
        <v>2016</v>
      </c>
      <c r="B325" s="0" t="s">
        <v>60</v>
      </c>
      <c r="C325" s="0" t="n">
        <v>116333.296</v>
      </c>
      <c r="D325" s="0" t="n">
        <v>2179.8</v>
      </c>
      <c r="E325" s="24" t="n">
        <f aca="false">D325/F325</f>
        <v>0.0183929040213412</v>
      </c>
      <c r="F325" s="0" t="n">
        <f aca="false">SUM(C325:D325)</f>
        <v>118513.096</v>
      </c>
    </row>
    <row r="326" customFormat="false" ht="15" hidden="false" customHeight="false" outlineLevel="0" collapsed="false">
      <c r="A326" s="0" t="n">
        <v>2017</v>
      </c>
      <c r="B326" s="0" t="s">
        <v>60</v>
      </c>
      <c r="C326" s="0" t="n">
        <v>105811.541</v>
      </c>
      <c r="D326" s="0" t="n">
        <v>1814.8</v>
      </c>
      <c r="E326" s="24" t="n">
        <f aca="false">D326/F326</f>
        <v>0.0168620430940786</v>
      </c>
      <c r="F326" s="0" t="n">
        <f aca="false">SUM(C326:D326)</f>
        <v>107626.341</v>
      </c>
    </row>
    <row r="327" customFormat="false" ht="15" hidden="false" customHeight="false" outlineLevel="0" collapsed="false">
      <c r="A327" s="0" t="n">
        <v>2017</v>
      </c>
      <c r="B327" s="0" t="s">
        <v>49</v>
      </c>
      <c r="C327" s="0" t="n">
        <v>99778.393</v>
      </c>
      <c r="D327" s="0" t="n">
        <v>1662.8</v>
      </c>
      <c r="E327" s="24" t="n">
        <f aca="false">D327/F327</f>
        <v>0.0163917630582282</v>
      </c>
      <c r="F327" s="0" t="n">
        <f aca="false">SUM(C327:D327)</f>
        <v>101441.193</v>
      </c>
    </row>
    <row r="328" customFormat="false" ht="15" hidden="false" customHeight="false" outlineLevel="0" collapsed="false">
      <c r="A328" s="0" t="n">
        <v>2017</v>
      </c>
      <c r="B328" s="0" t="s">
        <v>50</v>
      </c>
      <c r="C328" s="0" t="n">
        <v>100857.073</v>
      </c>
      <c r="D328" s="0" t="n">
        <v>1437.802</v>
      </c>
      <c r="E328" s="24" t="n">
        <f aca="false">D328/F328</f>
        <v>0.0140554646554874</v>
      </c>
      <c r="F328" s="0" t="n">
        <f aca="false">SUM(C328:D328)</f>
        <v>102294.875</v>
      </c>
    </row>
    <row r="329" customFormat="false" ht="15" hidden="false" customHeight="false" outlineLevel="0" collapsed="false">
      <c r="A329" s="0" t="n">
        <v>2017</v>
      </c>
      <c r="B329" s="0" t="s">
        <v>57</v>
      </c>
      <c r="C329" s="0" t="n">
        <v>98780.3</v>
      </c>
      <c r="D329" s="0" t="n">
        <v>1573.551</v>
      </c>
      <c r="E329" s="24" t="n">
        <f aca="false">D329/F329</f>
        <v>0.0156800260709477</v>
      </c>
      <c r="F329" s="0" t="n">
        <f aca="false">SUM(C329:D329)</f>
        <v>100353.851</v>
      </c>
    </row>
    <row r="330" customFormat="false" ht="15" hidden="false" customHeight="false" outlineLevel="0" collapsed="false">
      <c r="A330" s="0" t="n">
        <v>2017</v>
      </c>
      <c r="B330" s="0" t="s">
        <v>56</v>
      </c>
      <c r="C330" s="0" t="n">
        <v>115341.451</v>
      </c>
      <c r="D330" s="0" t="n">
        <v>2062.8</v>
      </c>
      <c r="E330" s="24" t="n">
        <f aca="false">D330/F330</f>
        <v>0.0175700622629073</v>
      </c>
      <c r="F330" s="0" t="n">
        <f aca="false">SUM(C330:D330)</f>
        <v>117404.251</v>
      </c>
    </row>
    <row r="331" customFormat="false" ht="15" hidden="false" customHeight="false" outlineLevel="0" collapsed="false">
      <c r="A331" s="0" t="n">
        <v>2017</v>
      </c>
      <c r="B331" s="0" t="s">
        <v>55</v>
      </c>
      <c r="C331" s="0" t="n">
        <v>105559.895</v>
      </c>
      <c r="D331" s="0" t="n">
        <v>4711.789</v>
      </c>
      <c r="E331" s="24" t="n">
        <f aca="false">D331/F331</f>
        <v>0.0427289112588505</v>
      </c>
      <c r="F331" s="0" t="n">
        <f aca="false">SUM(C331:D331)</f>
        <v>110271.684</v>
      </c>
    </row>
    <row r="332" customFormat="false" ht="15" hidden="false" customHeight="false" outlineLevel="0" collapsed="false">
      <c r="A332" s="0" t="n">
        <v>2017</v>
      </c>
      <c r="B332" s="0" t="s">
        <v>54</v>
      </c>
      <c r="C332" s="0" t="n">
        <v>112863.4</v>
      </c>
      <c r="D332" s="0" t="n">
        <v>8022.444</v>
      </c>
      <c r="E332" s="24" t="n">
        <f aca="false">D332/F332</f>
        <v>0.0663638002146885</v>
      </c>
      <c r="F332" s="0" t="n">
        <f aca="false">SUM(C332:D332)</f>
        <v>120885.844</v>
      </c>
    </row>
    <row r="333" customFormat="false" ht="15" hidden="false" customHeight="false" outlineLevel="0" collapsed="false">
      <c r="A333" s="0" t="n">
        <v>2017</v>
      </c>
      <c r="B333" s="0" t="s">
        <v>53</v>
      </c>
      <c r="C333" s="0" t="n">
        <v>112918.8</v>
      </c>
      <c r="D333" s="0" t="n">
        <v>4869.43</v>
      </c>
      <c r="E333" s="24" t="n">
        <f aca="false">D333/F333</f>
        <v>0.0413405482024817</v>
      </c>
      <c r="F333" s="0" t="n">
        <f aca="false">SUM(C333:D333)</f>
        <v>117788.23</v>
      </c>
    </row>
    <row r="334" customFormat="false" ht="15" hidden="false" customHeight="false" outlineLevel="0" collapsed="false">
      <c r="A334" s="0" t="n">
        <v>2017</v>
      </c>
      <c r="B334" s="0" t="s">
        <v>52</v>
      </c>
      <c r="C334" s="0" t="n">
        <v>106479.35</v>
      </c>
      <c r="D334" s="0" t="n">
        <v>6186.416</v>
      </c>
      <c r="E334" s="24" t="n">
        <f aca="false">D334/F334</f>
        <v>0.0549094567022249</v>
      </c>
      <c r="F334" s="0" t="n">
        <f aca="false">SUM(C334:D334)</f>
        <v>112665.766</v>
      </c>
    </row>
    <row r="335" customFormat="false" ht="15" hidden="false" customHeight="false" outlineLevel="0" collapsed="false">
      <c r="A335" s="0" t="n">
        <v>2017</v>
      </c>
      <c r="B335" s="0" t="s">
        <v>59</v>
      </c>
      <c r="C335" s="0" t="n">
        <v>111240.411</v>
      </c>
      <c r="D335" s="0" t="n">
        <v>5876.688</v>
      </c>
      <c r="E335" s="24" t="n">
        <f aca="false">D335/F335</f>
        <v>0.0501778822236709</v>
      </c>
      <c r="F335" s="0" t="n">
        <f aca="false">SUM(C335:D335)</f>
        <v>117117.099</v>
      </c>
    </row>
    <row r="336" customFormat="false" ht="15" hidden="false" customHeight="false" outlineLevel="0" collapsed="false">
      <c r="A336" s="0" t="n">
        <v>2017</v>
      </c>
      <c r="B336" s="0" t="s">
        <v>51</v>
      </c>
      <c r="C336" s="0" t="n">
        <v>98380.1</v>
      </c>
      <c r="D336" s="0" t="n">
        <v>1777.8</v>
      </c>
      <c r="E336" s="24" t="n">
        <f aca="false">D336/F336</f>
        <v>0.0177499727929599</v>
      </c>
      <c r="F336" s="0" t="n">
        <f aca="false">SUM(C336:D336)</f>
        <v>100157.9</v>
      </c>
    </row>
    <row r="337" customFormat="false" ht="15" hidden="false" customHeight="false" outlineLevel="0" collapsed="false">
      <c r="A337" s="0" t="n">
        <v>2017</v>
      </c>
      <c r="B337" s="0" t="s">
        <v>58</v>
      </c>
      <c r="C337" s="0" t="n">
        <v>98114.2</v>
      </c>
      <c r="D337" s="0" t="n">
        <v>1293</v>
      </c>
      <c r="E337" s="24" t="n">
        <f aca="false">D337/F337</f>
        <v>0.0130071061251097</v>
      </c>
      <c r="F337" s="0" t="n">
        <f aca="false">SUM(C337:D337)</f>
        <v>99407.2</v>
      </c>
    </row>
    <row r="338" customFormat="false" ht="15" hidden="false" customHeight="false" outlineLevel="0" collapsed="false">
      <c r="A338" s="0" t="n">
        <v>2018</v>
      </c>
      <c r="B338" s="0" t="s">
        <v>60</v>
      </c>
      <c r="C338" s="0" t="n">
        <v>100466.848</v>
      </c>
      <c r="D338" s="0" t="n">
        <v>4056.589</v>
      </c>
      <c r="E338" s="24" t="n">
        <f aca="false">D338/F338</f>
        <v>0.0388103292087496</v>
      </c>
      <c r="F338" s="0" t="n">
        <f aca="false">SUM(C338:D338)</f>
        <v>104523.437</v>
      </c>
    </row>
    <row r="339" customFormat="false" ht="15" hidden="false" customHeight="false" outlineLevel="0" collapsed="false">
      <c r="A339" s="0" t="n">
        <v>2018</v>
      </c>
      <c r="B339" s="0" t="s">
        <v>49</v>
      </c>
      <c r="C339" s="0" t="n">
        <v>86181.601</v>
      </c>
      <c r="D339" s="0" t="n">
        <v>4784.596</v>
      </c>
      <c r="E339" s="24" t="n">
        <f aca="false">D339/F339</f>
        <v>0.0525975159761818</v>
      </c>
      <c r="F339" s="0" t="n">
        <f aca="false">SUM(C339:D339)</f>
        <v>90966.197</v>
      </c>
    </row>
    <row r="340" customFormat="false" ht="15" hidden="false" customHeight="false" outlineLevel="0" collapsed="false">
      <c r="A340" s="0" t="n">
        <v>2018</v>
      </c>
      <c r="B340" s="0" t="s">
        <v>50</v>
      </c>
      <c r="C340" s="0" t="n">
        <v>79114.232</v>
      </c>
      <c r="D340" s="0" t="n">
        <v>4041.537</v>
      </c>
      <c r="E340" s="24" t="n">
        <f aca="false">D340/F340</f>
        <v>0.0486020037888171</v>
      </c>
      <c r="F340" s="0" t="n">
        <f aca="false">SUM(C340:D340)</f>
        <v>83155.769</v>
      </c>
    </row>
    <row r="341" customFormat="false" ht="15" hidden="false" customHeight="false" outlineLevel="0" collapsed="false">
      <c r="A341" s="0" t="n">
        <v>2018</v>
      </c>
      <c r="B341" s="0" t="s">
        <v>58</v>
      </c>
      <c r="C341" s="0" t="n">
        <v>91289.745</v>
      </c>
      <c r="D341" s="0" t="n">
        <v>4434.645</v>
      </c>
      <c r="E341" s="24" t="n">
        <f aca="false">D341/F341</f>
        <v>0.0463272213069208</v>
      </c>
      <c r="F341" s="0" t="n">
        <f aca="false">SUM(C341:D341)</f>
        <v>95724.39</v>
      </c>
    </row>
    <row r="342" customFormat="false" ht="15" hidden="false" customHeight="false" outlineLevel="0" collapsed="false">
      <c r="A342" s="0" t="n">
        <v>2018</v>
      </c>
      <c r="B342" s="0" t="s">
        <v>56</v>
      </c>
      <c r="C342" s="0" t="n">
        <v>111130.031</v>
      </c>
      <c r="D342" s="0" t="n">
        <v>6705.091</v>
      </c>
      <c r="E342" s="24" t="n">
        <f aca="false">D342/F342</f>
        <v>0.0569023130472085</v>
      </c>
      <c r="F342" s="0" t="n">
        <f aca="false">SUM(C342:D342)</f>
        <v>117835.122</v>
      </c>
    </row>
    <row r="343" customFormat="false" ht="15" hidden="false" customHeight="false" outlineLevel="0" collapsed="false">
      <c r="A343" s="0" t="n">
        <v>2018</v>
      </c>
      <c r="B343" s="0" t="s">
        <v>55</v>
      </c>
      <c r="C343" s="0" t="n">
        <v>101124.803</v>
      </c>
      <c r="D343" s="0" t="n">
        <v>14348</v>
      </c>
      <c r="E343" s="24" t="n">
        <f aca="false">D343/F343</f>
        <v>0.124254366632115</v>
      </c>
      <c r="F343" s="0" t="n">
        <f aca="false">SUM(C343:D343)</f>
        <v>115472.803</v>
      </c>
    </row>
    <row r="344" customFormat="false" ht="15" hidden="false" customHeight="false" outlineLevel="0" collapsed="false">
      <c r="A344" s="0" t="n">
        <v>2018</v>
      </c>
      <c r="B344" s="0" t="s">
        <v>54</v>
      </c>
      <c r="C344" s="0" t="n">
        <v>89603.47</v>
      </c>
      <c r="D344" s="0" t="n">
        <v>23220</v>
      </c>
      <c r="E344" s="24" t="n">
        <f aca="false">D344/F344</f>
        <v>0.20580824184897</v>
      </c>
      <c r="F344" s="0" t="n">
        <f aca="false">SUM(C344:D344)</f>
        <v>112823.47</v>
      </c>
    </row>
    <row r="345" customFormat="false" ht="15" hidden="false" customHeight="false" outlineLevel="0" collapsed="false">
      <c r="A345" s="0" t="n">
        <v>2018</v>
      </c>
      <c r="B345" s="0" t="s">
        <v>52</v>
      </c>
      <c r="C345" s="0" t="n">
        <v>83731.5</v>
      </c>
      <c r="D345" s="0" t="n">
        <v>29566.709</v>
      </c>
      <c r="E345" s="24" t="n">
        <f aca="false">D345/F345</f>
        <v>0.260963604464392</v>
      </c>
      <c r="F345" s="0" t="n">
        <f aca="false">SUM(C345:D345)</f>
        <v>113298.209</v>
      </c>
    </row>
    <row r="346" customFormat="false" ht="15" hidden="false" customHeight="false" outlineLevel="0" collapsed="false">
      <c r="A346" s="0" t="n">
        <v>2018</v>
      </c>
      <c r="B346" s="0" t="s">
        <v>59</v>
      </c>
      <c r="C346" s="0" t="n">
        <v>88786.802</v>
      </c>
      <c r="D346" s="0" t="n">
        <v>32680.145</v>
      </c>
      <c r="E346" s="24" t="n">
        <f aca="false">D346/F346</f>
        <v>0.269045578300408</v>
      </c>
      <c r="F346" s="0" t="n">
        <f aca="false">SUM(C346:D346)</f>
        <v>121466.947</v>
      </c>
    </row>
    <row r="347" customFormat="false" ht="15" hidden="false" customHeight="false" outlineLevel="0" collapsed="false">
      <c r="A347" s="0" t="n">
        <v>2018</v>
      </c>
      <c r="B347" s="0" t="s">
        <v>51</v>
      </c>
      <c r="C347" s="0" t="n">
        <v>74733.405</v>
      </c>
      <c r="D347" s="0" t="n">
        <v>20800.259</v>
      </c>
      <c r="E347" s="24" t="n">
        <f aca="false">D347/F347</f>
        <v>0.217727009821376</v>
      </c>
      <c r="F347" s="0" t="n">
        <f aca="false">SUM(C347:D347)</f>
        <v>95533.664</v>
      </c>
    </row>
    <row r="348" customFormat="false" ht="15" hidden="false" customHeight="false" outlineLevel="0" collapsed="false">
      <c r="A348" s="0" t="n">
        <v>2018</v>
      </c>
      <c r="B348" s="0" t="s">
        <v>57</v>
      </c>
      <c r="C348" s="0" t="n">
        <v>89551.196</v>
      </c>
      <c r="D348" s="0" t="n">
        <v>13708.81</v>
      </c>
      <c r="E348" s="24" t="n">
        <f aca="false">D348/F348</f>
        <v>0.132760112371096</v>
      </c>
      <c r="F348" s="0" t="n">
        <f aca="false">SUM(C348:D348)</f>
        <v>103260.006</v>
      </c>
    </row>
    <row r="349" customFormat="false" ht="15" hidden="false" customHeight="false" outlineLevel="0" collapsed="false">
      <c r="A349" s="0" t="n">
        <v>2018</v>
      </c>
      <c r="B349" s="0" t="s">
        <v>53</v>
      </c>
      <c r="C349" s="0" t="n">
        <v>95077</v>
      </c>
      <c r="D349" s="0" t="n">
        <v>9283</v>
      </c>
      <c r="E349" s="24" t="n">
        <f aca="false">D349/F349</f>
        <v>0.0889517056343427</v>
      </c>
      <c r="F349" s="0" t="n">
        <f aca="false">SUM(C349:D349)</f>
        <v>104360</v>
      </c>
    </row>
    <row r="350" customFormat="false" ht="15" hidden="false" customHeight="false" outlineLevel="0" collapsed="false">
      <c r="A350" s="0" t="n">
        <v>2019</v>
      </c>
      <c r="B350" s="0" t="s">
        <v>60</v>
      </c>
      <c r="C350" s="0" t="n">
        <v>97412.971</v>
      </c>
      <c r="D350" s="0" t="n">
        <v>18352.206</v>
      </c>
      <c r="E350" s="24" t="n">
        <f aca="false">D350/F350</f>
        <v>0.158529589601889</v>
      </c>
      <c r="F350" s="0" t="n">
        <f aca="false">SUM(C350:D350)</f>
        <v>115765.177</v>
      </c>
    </row>
    <row r="351" customFormat="false" ht="15" hidden="false" customHeight="false" outlineLevel="0" collapsed="false">
      <c r="A351" s="0" t="n">
        <v>2019</v>
      </c>
      <c r="B351" s="0" t="s">
        <v>50</v>
      </c>
      <c r="C351" s="0" t="n">
        <v>94779.5</v>
      </c>
      <c r="D351" s="0" t="n">
        <v>8890</v>
      </c>
      <c r="E351" s="24" t="n">
        <f aca="false">D351/F351</f>
        <v>0.0857532832703929</v>
      </c>
      <c r="F351" s="0" t="n">
        <f aca="false">SUM(C351:D351)</f>
        <v>103669.5</v>
      </c>
    </row>
    <row r="352" customFormat="false" ht="15" hidden="false" customHeight="false" outlineLevel="0" collapsed="false">
      <c r="A352" s="0" t="n">
        <v>2019</v>
      </c>
      <c r="B352" s="0" t="s">
        <v>49</v>
      </c>
      <c r="C352" s="0" t="n">
        <v>96496.001</v>
      </c>
      <c r="D352" s="0" t="n">
        <v>11407.411</v>
      </c>
      <c r="E352" s="24" t="n">
        <f aca="false">D352/F352</f>
        <v>0.105718723704492</v>
      </c>
      <c r="F352" s="0" t="n">
        <f aca="false">SUM(C352:D352)</f>
        <v>107903.412</v>
      </c>
    </row>
    <row r="353" customFormat="false" ht="15" hidden="false" customHeight="false" outlineLevel="0" collapsed="false">
      <c r="A353" s="0" t="n">
        <v>2019</v>
      </c>
      <c r="B353" s="0" t="s">
        <v>57</v>
      </c>
      <c r="C353" s="0" t="n">
        <v>90284.5</v>
      </c>
      <c r="D353" s="0" t="n">
        <v>11340.581</v>
      </c>
      <c r="E353" s="24" t="n">
        <f aca="false">D353/F353</f>
        <v>0.111592344019878</v>
      </c>
      <c r="F353" s="0" t="n">
        <f aca="false">SUM(C353:D353)</f>
        <v>101625.081</v>
      </c>
    </row>
    <row r="354" customFormat="false" ht="15" hidden="false" customHeight="false" outlineLevel="0" collapsed="false">
      <c r="A354" s="0" t="n">
        <v>2019</v>
      </c>
      <c r="B354" s="0" t="s">
        <v>58</v>
      </c>
      <c r="C354" s="0" t="n">
        <v>87198.5</v>
      </c>
      <c r="D354" s="0" t="n">
        <v>14403.438</v>
      </c>
      <c r="E354" s="24" t="n">
        <f aca="false">D354/F354</f>
        <v>0.141763417937953</v>
      </c>
      <c r="F354" s="0" t="n">
        <f aca="false">SUM(C354:D354)</f>
        <v>101601.938</v>
      </c>
    </row>
    <row r="355" customFormat="false" ht="15" hidden="false" customHeight="false" outlineLevel="0" collapsed="false">
      <c r="A355" s="0" t="n">
        <v>2019</v>
      </c>
      <c r="B355" s="0" t="s">
        <v>56</v>
      </c>
      <c r="C355" s="0" t="n">
        <v>95555.378</v>
      </c>
      <c r="D355" s="0" t="n">
        <v>14945</v>
      </c>
      <c r="E355" s="24" t="n">
        <f aca="false">D355/F355</f>
        <v>0.135248406118575</v>
      </c>
      <c r="F355" s="0" t="n">
        <f aca="false">SUM(C355:D355)</f>
        <v>110500.378</v>
      </c>
    </row>
    <row r="356" customFormat="false" ht="15" hidden="false" customHeight="false" outlineLevel="0" collapsed="false">
      <c r="A356" s="0" t="n">
        <v>2019</v>
      </c>
      <c r="B356" s="0" t="s">
        <v>55</v>
      </c>
      <c r="C356" s="0" t="n">
        <v>93018.492</v>
      </c>
      <c r="D356" s="0" t="n">
        <v>15244</v>
      </c>
      <c r="E356" s="24" t="n">
        <f aca="false">D356/F356</f>
        <v>0.140805921962336</v>
      </c>
      <c r="F356" s="0" t="n">
        <f aca="false">SUM(C356:D356)</f>
        <v>108262.492</v>
      </c>
    </row>
    <row r="357" customFormat="false" ht="15" hidden="false" customHeight="false" outlineLevel="0" collapsed="false">
      <c r="A357" s="0" t="n">
        <v>2019</v>
      </c>
      <c r="B357" s="0" t="s">
        <v>54</v>
      </c>
      <c r="C357" s="0" t="n">
        <v>93025</v>
      </c>
      <c r="D357" s="0" t="n">
        <v>16070</v>
      </c>
      <c r="E357" s="24" t="n">
        <f aca="false">D357/F357</f>
        <v>0.147302809477978</v>
      </c>
      <c r="F357" s="0" t="n">
        <f aca="false">SUM(C357:D357)</f>
        <v>109095</v>
      </c>
    </row>
    <row r="358" customFormat="false" ht="15" hidden="false" customHeight="false" outlineLevel="0" collapsed="false">
      <c r="A358" s="0" t="n">
        <v>2019</v>
      </c>
      <c r="B358" s="0" t="s">
        <v>53</v>
      </c>
      <c r="C358" s="0" t="n">
        <v>89222.3</v>
      </c>
      <c r="D358" s="0" t="n">
        <v>16554.992</v>
      </c>
      <c r="E358" s="24" t="n">
        <f aca="false">D358/F358</f>
        <v>0.156507996064032</v>
      </c>
      <c r="F358" s="0" t="n">
        <f aca="false">SUM(C358:D358)</f>
        <v>105777.292</v>
      </c>
    </row>
    <row r="359" customFormat="false" ht="15" hidden="false" customHeight="false" outlineLevel="0" collapsed="false">
      <c r="A359" s="0" t="n">
        <v>2019</v>
      </c>
      <c r="B359" s="0" t="s">
        <v>52</v>
      </c>
      <c r="C359" s="0" t="n">
        <v>93638.778</v>
      </c>
      <c r="D359" s="0" t="n">
        <v>17826.5</v>
      </c>
      <c r="E359" s="24" t="n">
        <f aca="false">D359/F359</f>
        <v>0.159928726863266</v>
      </c>
      <c r="F359" s="0" t="n">
        <f aca="false">SUM(C359:D359)</f>
        <v>111465.278</v>
      </c>
    </row>
    <row r="360" customFormat="false" ht="15" hidden="false" customHeight="false" outlineLevel="0" collapsed="false">
      <c r="A360" s="0" t="n">
        <v>2019</v>
      </c>
      <c r="B360" s="0" t="s">
        <v>59</v>
      </c>
      <c r="C360" s="0" t="n">
        <v>98842</v>
      </c>
      <c r="D360" s="0" t="n">
        <v>15938</v>
      </c>
      <c r="E360" s="24" t="n">
        <f aca="false">D360/F360</f>
        <v>0.138856943718418</v>
      </c>
      <c r="F360" s="0" t="n">
        <f aca="false">SUM(C360:D360)</f>
        <v>114780</v>
      </c>
    </row>
    <row r="361" customFormat="false" ht="15" hidden="false" customHeight="false" outlineLevel="0" collapsed="false">
      <c r="A361" s="0" t="n">
        <v>2019</v>
      </c>
      <c r="B361" s="0" t="s">
        <v>51</v>
      </c>
      <c r="C361" s="0" t="n">
        <v>93641</v>
      </c>
      <c r="D361" s="0" t="n">
        <v>16871.685</v>
      </c>
      <c r="E361" s="24" t="n">
        <f aca="false">D361/F361</f>
        <v>0.152667406461077</v>
      </c>
      <c r="F361" s="0" t="n">
        <f aca="false">SUM(C361:D361)</f>
        <v>110512.685</v>
      </c>
    </row>
    <row r="362" customFormat="false" ht="15" hidden="false" customHeight="false" outlineLevel="0" collapsed="false">
      <c r="A362" s="0" t="n">
        <v>2020</v>
      </c>
      <c r="B362" s="0" t="s">
        <v>59</v>
      </c>
      <c r="C362" s="0" t="n">
        <v>76607.922</v>
      </c>
      <c r="D362" s="0" t="n">
        <v>11872.63</v>
      </c>
      <c r="E362" s="24" t="n">
        <f aca="false">D362/F362</f>
        <v>0.134183498312714</v>
      </c>
      <c r="F362" s="0" t="n">
        <f aca="false">SUM(C362:D362)</f>
        <v>88480.552</v>
      </c>
    </row>
    <row r="363" customFormat="false" ht="15" hidden="false" customHeight="false" outlineLevel="0" collapsed="false">
      <c r="A363" s="0" t="n">
        <v>2020</v>
      </c>
      <c r="B363" s="0" t="s">
        <v>55</v>
      </c>
      <c r="C363" s="0" t="n">
        <v>60537.5</v>
      </c>
      <c r="D363" s="0" t="n">
        <v>14377.4</v>
      </c>
      <c r="E363" s="24" t="n">
        <f aca="false">D363/F363</f>
        <v>0.191916427840123</v>
      </c>
      <c r="F363" s="0" t="n">
        <f aca="false">SUM(C363:D363)</f>
        <v>74914.9</v>
      </c>
    </row>
    <row r="364" customFormat="false" ht="15" hidden="false" customHeight="false" outlineLevel="0" collapsed="false">
      <c r="A364" s="0" t="n">
        <v>2020</v>
      </c>
      <c r="B364" s="0" t="s">
        <v>58</v>
      </c>
      <c r="C364" s="0" t="n">
        <v>88126.31</v>
      </c>
      <c r="D364" s="0" t="n">
        <v>9765.5</v>
      </c>
      <c r="E364" s="24" t="n">
        <f aca="false">D364/F364</f>
        <v>0.0997580900792416</v>
      </c>
      <c r="F364" s="0" t="n">
        <f aca="false">SUM(C364:D364)</f>
        <v>97891.81</v>
      </c>
    </row>
    <row r="365" customFormat="false" ht="15" hidden="false" customHeight="false" outlineLevel="0" collapsed="false">
      <c r="A365" s="0" t="n">
        <v>2020</v>
      </c>
      <c r="B365" s="0" t="s">
        <v>57</v>
      </c>
      <c r="C365" s="0" t="n">
        <v>93967</v>
      </c>
      <c r="D365" s="0" t="n">
        <v>6591</v>
      </c>
      <c r="E365" s="24" t="n">
        <f aca="false">D365/F365</f>
        <v>0.0655442630123909</v>
      </c>
      <c r="F365" s="0" t="n">
        <f aca="false">SUM(C365:D365)</f>
        <v>100558</v>
      </c>
    </row>
    <row r="366" customFormat="false" ht="15" hidden="false" customHeight="false" outlineLevel="0" collapsed="false">
      <c r="A366" s="0" t="n">
        <v>2020</v>
      </c>
      <c r="B366" s="0" t="s">
        <v>56</v>
      </c>
      <c r="C366" s="0" t="n">
        <v>78579</v>
      </c>
      <c r="D366" s="0" t="n">
        <v>3658</v>
      </c>
      <c r="E366" s="24" t="n">
        <f aca="false">D366/F366</f>
        <v>0.0444811945961064</v>
      </c>
      <c r="F366" s="0" t="n">
        <f aca="false">SUM(C366:D366)</f>
        <v>82237</v>
      </c>
    </row>
    <row r="367" customFormat="false" ht="15" hidden="false" customHeight="false" outlineLevel="0" collapsed="false">
      <c r="A367" s="0" t="n">
        <v>2020</v>
      </c>
      <c r="B367" s="0" t="s">
        <v>51</v>
      </c>
      <c r="C367" s="0" t="n">
        <v>77126.961</v>
      </c>
      <c r="D367" s="0" t="n">
        <v>5841.039</v>
      </c>
      <c r="E367" s="24" t="n">
        <f aca="false">D367/F367</f>
        <v>0.0704011064506798</v>
      </c>
      <c r="F367" s="0" t="n">
        <f aca="false">SUM(C367:D367)</f>
        <v>82968</v>
      </c>
    </row>
    <row r="368" customFormat="false" ht="15" hidden="false" customHeight="false" outlineLevel="0" collapsed="false">
      <c r="A368" s="0" t="n">
        <v>2020</v>
      </c>
      <c r="B368" s="0" t="s">
        <v>50</v>
      </c>
      <c r="C368" s="0" t="n">
        <v>84383.021</v>
      </c>
      <c r="D368" s="0" t="n">
        <v>12705.55</v>
      </c>
      <c r="E368" s="24" t="n">
        <f aca="false">D368/F368</f>
        <v>0.130865557800825</v>
      </c>
      <c r="F368" s="0" t="n">
        <f aca="false">SUM(C368:D368)</f>
        <v>97088.571</v>
      </c>
    </row>
    <row r="369" customFormat="false" ht="15" hidden="false" customHeight="false" outlineLevel="0" collapsed="false">
      <c r="A369" s="0" t="n">
        <v>2020</v>
      </c>
      <c r="B369" s="0" t="s">
        <v>49</v>
      </c>
      <c r="C369" s="0" t="n">
        <v>81774.394</v>
      </c>
      <c r="D369" s="0" t="n">
        <v>13177</v>
      </c>
      <c r="E369" s="24" t="n">
        <f aca="false">D369/F369</f>
        <v>0.138776266939272</v>
      </c>
      <c r="F369" s="0" t="n">
        <f aca="false">SUM(C369:D369)</f>
        <v>94951.394</v>
      </c>
    </row>
    <row r="370" customFormat="false" ht="15" hidden="false" customHeight="false" outlineLevel="0" collapsed="false">
      <c r="A370" s="0" t="n">
        <v>2020</v>
      </c>
      <c r="B370" s="0" t="s">
        <v>60</v>
      </c>
      <c r="C370" s="0" t="n">
        <v>95159.739</v>
      </c>
      <c r="D370" s="0" t="n">
        <v>21061.6</v>
      </c>
      <c r="E370" s="24" t="n">
        <f aca="false">D370/F370</f>
        <v>0.181219732806555</v>
      </c>
      <c r="F370" s="0" t="n">
        <f aca="false">SUM(C370:D370)</f>
        <v>116221.339</v>
      </c>
    </row>
    <row r="371" customFormat="false" ht="15" hidden="false" customHeight="false" outlineLevel="0" collapsed="false">
      <c r="A371" s="0" t="n">
        <v>2020</v>
      </c>
      <c r="B371" s="0" t="s">
        <v>52</v>
      </c>
      <c r="C371" s="0" t="n">
        <v>73558.5</v>
      </c>
      <c r="D371" s="0" t="n">
        <v>27471.88</v>
      </c>
      <c r="E371" s="24" t="n">
        <f aca="false">D371/F371</f>
        <v>0.271917021394951</v>
      </c>
      <c r="F371" s="0" t="n">
        <f aca="false">SUM(C371:D371)</f>
        <v>101030.38</v>
      </c>
    </row>
    <row r="372" customFormat="false" ht="15" hidden="false" customHeight="false" outlineLevel="0" collapsed="false">
      <c r="A372" s="0" t="n">
        <v>2020</v>
      </c>
      <c r="B372" s="0" t="s">
        <v>53</v>
      </c>
      <c r="C372" s="0" t="n">
        <v>66180</v>
      </c>
      <c r="D372" s="0" t="n">
        <v>14527</v>
      </c>
      <c r="E372" s="24" t="n">
        <f aca="false">D372/F372</f>
        <v>0.179996778470269</v>
      </c>
      <c r="F372" s="0" t="n">
        <f aca="false">SUM(C372:D372)</f>
        <v>80707</v>
      </c>
    </row>
    <row r="373" customFormat="false" ht="15" hidden="false" customHeight="false" outlineLevel="0" collapsed="false">
      <c r="A373" s="0" t="n">
        <v>2020</v>
      </c>
      <c r="B373" s="0" t="s">
        <v>54</v>
      </c>
      <c r="C373" s="0" t="n">
        <v>70625.036</v>
      </c>
      <c r="D373" s="0" t="n">
        <v>8722.5</v>
      </c>
      <c r="E373" s="24" t="n">
        <f aca="false">D373/F373</f>
        <v>0.109927799144261</v>
      </c>
      <c r="F373" s="0" t="n">
        <f aca="false">SUM(C373:D373)</f>
        <v>79347.536</v>
      </c>
    </row>
    <row r="374" customFormat="false" ht="15" hidden="false" customHeight="false" outlineLevel="0" collapsed="false">
      <c r="A374" s="0" t="n">
        <v>2021</v>
      </c>
      <c r="B374" s="0" t="s">
        <v>51</v>
      </c>
      <c r="C374" s="0" t="n">
        <v>85517.5</v>
      </c>
      <c r="D374" s="0" t="n">
        <v>12823</v>
      </c>
      <c r="E374" s="24" t="n">
        <f aca="false">D374/F374</f>
        <v>0.130393886547252</v>
      </c>
      <c r="F374" s="0" t="n">
        <f aca="false">SUM(C374:D374)</f>
        <v>98340.5</v>
      </c>
    </row>
    <row r="375" customFormat="false" ht="15" hidden="false" customHeight="false" outlineLevel="0" collapsed="false">
      <c r="A375" s="0" t="n">
        <v>2021</v>
      </c>
      <c r="B375" s="0" t="s">
        <v>59</v>
      </c>
      <c r="C375" s="0" t="n">
        <v>83758.888</v>
      </c>
      <c r="D375" s="0" t="n">
        <v>17552.4</v>
      </c>
      <c r="E375" s="24" t="n">
        <f aca="false">D375/F375</f>
        <v>0.173252165148665</v>
      </c>
      <c r="F375" s="0" t="n">
        <f aca="false">SUM(C375:D375)</f>
        <v>101311.288</v>
      </c>
    </row>
    <row r="376" customFormat="false" ht="15" hidden="false" customHeight="false" outlineLevel="0" collapsed="false">
      <c r="A376" s="0" t="n">
        <v>2021</v>
      </c>
      <c r="B376" s="0" t="s">
        <v>52</v>
      </c>
      <c r="C376" s="0" t="n">
        <v>89129</v>
      </c>
      <c r="D376" s="0" t="n">
        <v>14109.242</v>
      </c>
      <c r="E376" s="24" t="n">
        <f aca="false">D376/F376</f>
        <v>0.136666817708887</v>
      </c>
      <c r="F376" s="0" t="n">
        <f aca="false">SUM(C376:D376)</f>
        <v>103238.242</v>
      </c>
    </row>
    <row r="377" customFormat="false" ht="15" hidden="false" customHeight="false" outlineLevel="0" collapsed="false">
      <c r="A377" s="0" t="n">
        <v>2021</v>
      </c>
      <c r="B377" s="0" t="s">
        <v>53</v>
      </c>
      <c r="C377" s="0" t="n">
        <v>82908.981</v>
      </c>
      <c r="D377" s="0" t="n">
        <v>10381</v>
      </c>
      <c r="E377" s="24" t="n">
        <f aca="false">D377/F377</f>
        <v>0.111276686828782</v>
      </c>
      <c r="F377" s="0" t="n">
        <f aca="false">SUM(C377:D377)</f>
        <v>93289.981</v>
      </c>
    </row>
    <row r="378" customFormat="false" ht="15" hidden="false" customHeight="false" outlineLevel="0" collapsed="false">
      <c r="A378" s="0" t="n">
        <v>2021</v>
      </c>
      <c r="B378" s="0" t="s">
        <v>54</v>
      </c>
      <c r="C378" s="0" t="n">
        <v>81662</v>
      </c>
      <c r="D378" s="0" t="n">
        <v>9718</v>
      </c>
      <c r="E378" s="24" t="n">
        <f aca="false">D378/F378</f>
        <v>0.106347121908514</v>
      </c>
      <c r="F378" s="0" t="n">
        <f aca="false">SUM(C378:D378)</f>
        <v>91380</v>
      </c>
    </row>
    <row r="379" customFormat="false" ht="15" hidden="false" customHeight="false" outlineLevel="0" collapsed="false">
      <c r="A379" s="0" t="n">
        <v>2021</v>
      </c>
      <c r="B379" s="0" t="s">
        <v>55</v>
      </c>
      <c r="C379" s="0" t="n">
        <v>73833</v>
      </c>
      <c r="D379" s="0" t="n">
        <v>7890</v>
      </c>
      <c r="E379" s="24" t="n">
        <f aca="false">D379/F379</f>
        <v>0.0965456481039609</v>
      </c>
      <c r="F379" s="0" t="n">
        <f aca="false">SUM(C379:D379)</f>
        <v>81723</v>
      </c>
    </row>
    <row r="380" customFormat="false" ht="15" hidden="false" customHeight="false" outlineLevel="0" collapsed="false">
      <c r="A380" s="0" t="n">
        <v>2021</v>
      </c>
      <c r="B380" s="0" t="s">
        <v>56</v>
      </c>
      <c r="C380" s="0" t="n">
        <v>72621.981</v>
      </c>
      <c r="D380" s="0" t="n">
        <v>9068.2</v>
      </c>
      <c r="E380" s="24" t="n">
        <f aca="false">D380/F380</f>
        <v>0.111007221296278</v>
      </c>
      <c r="F380" s="0" t="n">
        <f aca="false">SUM(C380:D380)</f>
        <v>81690.181</v>
      </c>
    </row>
    <row r="381" customFormat="false" ht="15" hidden="false" customHeight="false" outlineLevel="0" collapsed="false">
      <c r="A381" s="0" t="n">
        <v>2021</v>
      </c>
      <c r="B381" s="0" t="s">
        <v>57</v>
      </c>
      <c r="C381" s="0" t="n">
        <v>66299</v>
      </c>
      <c r="D381" s="0" t="n">
        <v>7189</v>
      </c>
      <c r="E381" s="24" t="n">
        <f aca="false">D381/F381</f>
        <v>0.0978254953189637</v>
      </c>
      <c r="F381" s="0" t="n">
        <f aca="false">SUM(C381:D381)</f>
        <v>73488</v>
      </c>
    </row>
    <row r="382" customFormat="false" ht="15" hidden="false" customHeight="false" outlineLevel="0" collapsed="false">
      <c r="A382" s="0" t="n">
        <v>2021</v>
      </c>
      <c r="B382" s="0" t="s">
        <v>58</v>
      </c>
      <c r="C382" s="0" t="n">
        <v>78499</v>
      </c>
      <c r="D382" s="0" t="n">
        <v>7185.5</v>
      </c>
      <c r="E382" s="24" t="n">
        <f aca="false">D382/F382</f>
        <v>0.0838599746745327</v>
      </c>
      <c r="F382" s="0" t="n">
        <f aca="false">SUM(C382:D382)</f>
        <v>85684.5</v>
      </c>
    </row>
    <row r="383" customFormat="false" ht="15" hidden="false" customHeight="false" outlineLevel="0" collapsed="false">
      <c r="A383" s="0" t="n">
        <v>2021</v>
      </c>
      <c r="B383" s="0" t="s">
        <v>50</v>
      </c>
      <c r="C383" s="0" t="n">
        <v>90480.5</v>
      </c>
      <c r="D383" s="0" t="n">
        <v>5938</v>
      </c>
      <c r="E383" s="24" t="n">
        <f aca="false">D383/F383</f>
        <v>0.0615856915425982</v>
      </c>
      <c r="F383" s="0" t="n">
        <f aca="false">SUM(C383:D383)</f>
        <v>96418.5</v>
      </c>
    </row>
    <row r="384" customFormat="false" ht="15" hidden="false" customHeight="false" outlineLevel="0" collapsed="false">
      <c r="A384" s="0" t="n">
        <v>2021</v>
      </c>
      <c r="B384" s="0" t="s">
        <v>49</v>
      </c>
      <c r="C384" s="0" t="n">
        <v>84253.5</v>
      </c>
      <c r="D384" s="0" t="n">
        <v>5227.595</v>
      </c>
      <c r="E384" s="24" t="n">
        <f aca="false">D384/F384</f>
        <v>0.0584212229410022</v>
      </c>
      <c r="F384" s="0" t="n">
        <f aca="false">SUM(C384:D384)</f>
        <v>89481.095</v>
      </c>
    </row>
    <row r="385" customFormat="false" ht="15" hidden="false" customHeight="false" outlineLevel="0" collapsed="false">
      <c r="A385" s="0" t="n">
        <v>2021</v>
      </c>
      <c r="B385" s="0" t="s">
        <v>60</v>
      </c>
      <c r="C385" s="0" t="n">
        <v>96351</v>
      </c>
      <c r="D385" s="0" t="n">
        <v>8459</v>
      </c>
      <c r="E385" s="24" t="n">
        <f aca="false">D385/F385</f>
        <v>0.0807079477149127</v>
      </c>
      <c r="F385" s="0" t="n">
        <f aca="false">SUM(C385:D385)</f>
        <v>104810</v>
      </c>
    </row>
    <row r="386" customFormat="false" ht="15" hidden="false" customHeight="false" outlineLevel="0" collapsed="false">
      <c r="A386" s="0" t="n">
        <v>2022</v>
      </c>
      <c r="B386" s="0" t="s">
        <v>60</v>
      </c>
      <c r="C386" s="0" t="n">
        <v>100367.87</v>
      </c>
      <c r="D386" s="0" t="n">
        <v>7639</v>
      </c>
      <c r="E386" s="24" t="n">
        <f aca="false">D386/F386</f>
        <v>0.0707269824595417</v>
      </c>
      <c r="F386" s="0" t="n">
        <f aca="false">SUM(C386:D386)</f>
        <v>108006.87</v>
      </c>
    </row>
    <row r="387" customFormat="false" ht="15" hidden="false" customHeight="false" outlineLevel="0" collapsed="false">
      <c r="A387" s="0" t="n">
        <v>2022</v>
      </c>
      <c r="B387" s="0" t="s">
        <v>49</v>
      </c>
      <c r="C387" s="0" t="n">
        <v>87926.5</v>
      </c>
      <c r="D387" s="0" t="n">
        <v>8290.267</v>
      </c>
      <c r="E387" s="24" t="n">
        <f aca="false">D387/F387</f>
        <v>0.08616239412825</v>
      </c>
      <c r="F387" s="0" t="n">
        <f aca="false">SUM(C387:D387)</f>
        <v>96216.767</v>
      </c>
    </row>
    <row r="388" customFormat="false" ht="15" hidden="false" customHeight="false" outlineLevel="0" collapsed="false">
      <c r="A388" s="0" t="n">
        <v>2022</v>
      </c>
      <c r="B388" s="0" t="s">
        <v>58</v>
      </c>
      <c r="C388" s="0" t="n">
        <v>75218</v>
      </c>
      <c r="D388" s="0" t="n">
        <v>8546.5</v>
      </c>
      <c r="E388" s="24" t="n">
        <f aca="false">D388/F388</f>
        <v>0.102030096281838</v>
      </c>
      <c r="F388" s="0" t="n">
        <f aca="false">SUM(C388:D388)</f>
        <v>83764.5</v>
      </c>
    </row>
    <row r="389" customFormat="false" ht="15" hidden="false" customHeight="false" outlineLevel="0" collapsed="false">
      <c r="A389" s="0" t="n">
        <v>2022</v>
      </c>
      <c r="B389" s="0" t="s">
        <v>57</v>
      </c>
      <c r="C389" s="0" t="n">
        <v>81352</v>
      </c>
      <c r="D389" s="0" t="n">
        <v>9824.13</v>
      </c>
      <c r="E389" s="24" t="n">
        <f aca="false">D389/F389</f>
        <v>0.107748925075017</v>
      </c>
      <c r="F389" s="0" t="n">
        <f aca="false">SUM(C389:D389)</f>
        <v>91176.13</v>
      </c>
    </row>
    <row r="390" customFormat="false" ht="15" hidden="false" customHeight="false" outlineLevel="0" collapsed="false">
      <c r="A390" s="0" t="n">
        <v>2022</v>
      </c>
      <c r="B390" s="0" t="s">
        <v>55</v>
      </c>
      <c r="C390" s="0" t="n">
        <v>83010</v>
      </c>
      <c r="D390" s="0" t="n">
        <v>8644.5</v>
      </c>
      <c r="E390" s="24" t="n">
        <f aca="false">D390/F390</f>
        <v>0.0943161546896224</v>
      </c>
      <c r="F390" s="0" t="n">
        <f aca="false">SUM(C390:D390)</f>
        <v>91654.5</v>
      </c>
    </row>
    <row r="391" customFormat="false" ht="15" hidden="false" customHeight="false" outlineLevel="0" collapsed="false">
      <c r="A391" s="0" t="n">
        <v>2022</v>
      </c>
      <c r="B391" s="0" t="s">
        <v>54</v>
      </c>
      <c r="C391" s="0" t="n">
        <v>87884.5</v>
      </c>
      <c r="D391" s="0" t="n">
        <v>4670</v>
      </c>
      <c r="E391" s="24" t="n">
        <f aca="false">D391/F391</f>
        <v>0.0504567579102043</v>
      </c>
      <c r="F391" s="0" t="n">
        <f aca="false">SUM(C391:D391)</f>
        <v>92554.5</v>
      </c>
    </row>
    <row r="392" customFormat="false" ht="15" hidden="false" customHeight="false" outlineLevel="0" collapsed="false">
      <c r="A392" s="0" t="n">
        <v>2022</v>
      </c>
      <c r="B392" s="0" t="s">
        <v>53</v>
      </c>
      <c r="C392" s="0" t="n">
        <v>79555.5</v>
      </c>
      <c r="D392" s="0" t="n">
        <v>9134.5</v>
      </c>
      <c r="E392" s="24" t="n">
        <f aca="false">D392/F392</f>
        <v>0.102993573119856</v>
      </c>
      <c r="F392" s="0" t="n">
        <f aca="false">SUM(C392:D392)</f>
        <v>88690</v>
      </c>
    </row>
    <row r="393" customFormat="false" ht="15" hidden="false" customHeight="false" outlineLevel="0" collapsed="false">
      <c r="A393" s="0" t="n">
        <v>2022</v>
      </c>
      <c r="B393" s="0" t="s">
        <v>52</v>
      </c>
      <c r="C393" s="0" t="n">
        <v>86447.251</v>
      </c>
      <c r="D393" s="0" t="n">
        <v>7939</v>
      </c>
      <c r="E393" s="24" t="n">
        <f aca="false">D393/F393</f>
        <v>0.084111826838</v>
      </c>
      <c r="F393" s="0" t="n">
        <f aca="false">SUM(C393:D393)</f>
        <v>94386.251</v>
      </c>
    </row>
    <row r="394" customFormat="false" ht="15" hidden="false" customHeight="false" outlineLevel="0" collapsed="false">
      <c r="A394" s="0" t="n">
        <v>2022</v>
      </c>
      <c r="B394" s="0" t="s">
        <v>59</v>
      </c>
      <c r="C394" s="0" t="n">
        <v>95268.288</v>
      </c>
      <c r="D394" s="0" t="n">
        <v>8696</v>
      </c>
      <c r="E394" s="24" t="n">
        <f aca="false">D394/F394</f>
        <v>0.0836441067147981</v>
      </c>
      <c r="F394" s="0" t="n">
        <f aca="false">SUM(C394:D394)</f>
        <v>103964.288</v>
      </c>
    </row>
    <row r="395" customFormat="false" ht="15" hidden="false" customHeight="false" outlineLevel="0" collapsed="false">
      <c r="A395" s="0" t="n">
        <v>2022</v>
      </c>
      <c r="B395" s="0" t="s">
        <v>51</v>
      </c>
      <c r="C395" s="0" t="n">
        <v>91757</v>
      </c>
      <c r="D395" s="0" t="n">
        <v>5087</v>
      </c>
      <c r="E395" s="24" t="n">
        <f aca="false">D395/F395</f>
        <v>0.0525277766304572</v>
      </c>
      <c r="F395" s="0" t="n">
        <f aca="false">SUM(C395:D395)</f>
        <v>96844</v>
      </c>
    </row>
    <row r="396" customFormat="false" ht="15" hidden="false" customHeight="false" outlineLevel="0" collapsed="false">
      <c r="A396" s="0" t="n">
        <v>2022</v>
      </c>
      <c r="B396" s="0" t="s">
        <v>56</v>
      </c>
      <c r="C396" s="0" t="n">
        <v>83595.143</v>
      </c>
      <c r="D396" s="0" t="n">
        <v>3985</v>
      </c>
      <c r="E396" s="24" t="n">
        <f aca="false">D396/F396</f>
        <v>0.045501181700514</v>
      </c>
      <c r="F396" s="0" t="n">
        <f aca="false">SUM(C396:D396)</f>
        <v>87580.143</v>
      </c>
    </row>
    <row r="397" customFormat="false" ht="15" hidden="false" customHeight="false" outlineLevel="0" collapsed="false">
      <c r="A397" s="0" t="n">
        <v>2022</v>
      </c>
      <c r="B397" s="0" t="s">
        <v>50</v>
      </c>
      <c r="C397" s="0" t="n">
        <v>93229.255</v>
      </c>
      <c r="D397" s="0" t="n">
        <v>4343.5</v>
      </c>
      <c r="E397" s="24" t="n">
        <f aca="false">D397/F397</f>
        <v>0.0445155002541437</v>
      </c>
      <c r="F397" s="0" t="n">
        <f aca="false">SUM(C397:D397)</f>
        <v>97572.755</v>
      </c>
    </row>
    <row r="398" customFormat="false" ht="15" hidden="false" customHeight="false" outlineLevel="0" collapsed="false">
      <c r="A398" s="0" t="n">
        <v>2023</v>
      </c>
      <c r="B398" s="0" t="s">
        <v>60</v>
      </c>
      <c r="C398" s="0" t="n">
        <v>88125.437</v>
      </c>
      <c r="D398" s="0" t="n">
        <v>27759.2</v>
      </c>
      <c r="E398" s="24" t="n">
        <f aca="false">D398/F398</f>
        <v>0.239541674536203</v>
      </c>
      <c r="F398" s="0" t="n">
        <f aca="false">SUM(C398:D398)</f>
        <v>115884.637</v>
      </c>
    </row>
    <row r="399" customFormat="false" ht="15" hidden="false" customHeight="false" outlineLevel="0" collapsed="false">
      <c r="A399" s="0" t="n">
        <v>2023</v>
      </c>
      <c r="B399" s="0" t="s">
        <v>49</v>
      </c>
      <c r="C399" s="0" t="n">
        <v>83581.9</v>
      </c>
      <c r="D399" s="0" t="n">
        <v>6311</v>
      </c>
      <c r="E399" s="24" t="n">
        <f aca="false">D399/F399</f>
        <v>0.0702057670850534</v>
      </c>
      <c r="F399" s="0" t="n">
        <f aca="false">SUM(C399:D399)</f>
        <v>89892.9</v>
      </c>
    </row>
    <row r="400" customFormat="false" ht="15" hidden="false" customHeight="false" outlineLevel="0" collapsed="false">
      <c r="A400" s="0" t="n">
        <v>2023</v>
      </c>
      <c r="B400" s="0" t="s">
        <v>50</v>
      </c>
      <c r="C400" s="0" t="n">
        <v>87050.801</v>
      </c>
      <c r="D400" s="0" t="n">
        <v>11126.5</v>
      </c>
      <c r="E400" s="24" t="n">
        <f aca="false">D400/F400</f>
        <v>0.113330677118533</v>
      </c>
      <c r="F400" s="0" t="n">
        <f aca="false">SUM(C400:D400)</f>
        <v>98177.301</v>
      </c>
    </row>
    <row r="401" customFormat="false" ht="15" hidden="false" customHeight="false" outlineLevel="0" collapsed="false">
      <c r="A401" s="0" t="n">
        <v>2023</v>
      </c>
      <c r="B401" s="0" t="s">
        <v>58</v>
      </c>
      <c r="C401" s="0" t="n">
        <v>82369</v>
      </c>
      <c r="D401" s="0" t="n">
        <v>5584</v>
      </c>
      <c r="E401" s="24" t="n">
        <f aca="false">D401/F401</f>
        <v>0.0634884540606915</v>
      </c>
      <c r="F401" s="0" t="n">
        <f aca="false">SUM(C401:D401)</f>
        <v>87953</v>
      </c>
    </row>
    <row r="402" customFormat="false" ht="15" hidden="false" customHeight="false" outlineLevel="0" collapsed="false">
      <c r="A402" s="0" t="n">
        <v>2023</v>
      </c>
      <c r="B402" s="0" t="s">
        <v>55</v>
      </c>
      <c r="C402" s="0" t="n">
        <v>87486.169</v>
      </c>
      <c r="D402" s="0" t="n">
        <v>13108</v>
      </c>
      <c r="E402" s="24" t="n">
        <f aca="false">D402/F402</f>
        <v>0.130305763547786</v>
      </c>
      <c r="F402" s="0" t="n">
        <f aca="false">SUM(C402:D402)</f>
        <v>100594.169</v>
      </c>
    </row>
    <row r="403" customFormat="false" ht="15" hidden="false" customHeight="false" outlineLevel="0" collapsed="false">
      <c r="A403" s="0" t="n">
        <v>2023</v>
      </c>
      <c r="B403" s="0" t="s">
        <v>54</v>
      </c>
      <c r="C403" s="0" t="n">
        <v>97308.5</v>
      </c>
      <c r="D403" s="0" t="n">
        <v>12085.7</v>
      </c>
      <c r="E403" s="24" t="n">
        <f aca="false">D403/F403</f>
        <v>0.110478434871319</v>
      </c>
      <c r="F403" s="0" t="n">
        <f aca="false">SUM(C403:D403)</f>
        <v>109394.2</v>
      </c>
    </row>
    <row r="404" customFormat="false" ht="15" hidden="false" customHeight="false" outlineLevel="0" collapsed="false">
      <c r="A404" s="0" t="n">
        <v>2023</v>
      </c>
      <c r="B404" s="0" t="s">
        <v>53</v>
      </c>
      <c r="C404" s="0" t="n">
        <v>90091.25</v>
      </c>
      <c r="D404" s="0" t="n">
        <v>19321.1</v>
      </c>
      <c r="E404" s="24" t="n">
        <f aca="false">D404/F404</f>
        <v>0.176589754264487</v>
      </c>
      <c r="F404" s="0" t="n">
        <f aca="false">SUM(C404:D404)</f>
        <v>109412.35</v>
      </c>
    </row>
    <row r="405" customFormat="false" ht="15" hidden="false" customHeight="false" outlineLevel="0" collapsed="false">
      <c r="A405" s="0" t="n">
        <v>2023</v>
      </c>
      <c r="B405" s="0" t="s">
        <v>52</v>
      </c>
      <c r="C405" s="0" t="n">
        <v>85745.9</v>
      </c>
      <c r="D405" s="0" t="n">
        <v>22618.9</v>
      </c>
      <c r="E405" s="24" t="n">
        <f aca="false">D405/F405</f>
        <v>0.208729218343964</v>
      </c>
      <c r="F405" s="0" t="n">
        <f aca="false">SUM(C405:D405)</f>
        <v>108364.8</v>
      </c>
    </row>
    <row r="406" customFormat="false" ht="15" hidden="false" customHeight="false" outlineLevel="0" collapsed="false">
      <c r="A406" s="0" t="n">
        <v>2023</v>
      </c>
      <c r="B406" s="0" t="s">
        <v>59</v>
      </c>
      <c r="C406" s="0" t="n">
        <v>89606</v>
      </c>
      <c r="D406" s="0" t="n">
        <v>23834.9</v>
      </c>
      <c r="E406" s="24" t="n">
        <f aca="false">D406/F406</f>
        <v>0.210108523469049</v>
      </c>
      <c r="F406" s="0" t="n">
        <f aca="false">SUM(C406:D406)</f>
        <v>113440.9</v>
      </c>
    </row>
    <row r="407" customFormat="false" ht="15" hidden="false" customHeight="false" outlineLevel="0" collapsed="false">
      <c r="A407" s="0" t="n">
        <v>2023</v>
      </c>
      <c r="B407" s="0" t="s">
        <v>51</v>
      </c>
      <c r="C407" s="0" t="n">
        <v>85377.3</v>
      </c>
      <c r="D407" s="0" t="n">
        <v>24109.7</v>
      </c>
      <c r="E407" s="24" t="n">
        <f aca="false">D407/F407</f>
        <v>0.220206051860038</v>
      </c>
      <c r="F407" s="0" t="n">
        <f aca="false">SUM(C407:D407)</f>
        <v>109487</v>
      </c>
    </row>
    <row r="408" customFormat="false" ht="15" hidden="false" customHeight="false" outlineLevel="0" collapsed="false">
      <c r="A408" s="0" t="n">
        <v>2023</v>
      </c>
      <c r="B408" s="0" t="s">
        <v>57</v>
      </c>
      <c r="C408" s="0" t="n">
        <v>86500</v>
      </c>
      <c r="D408" s="0" t="n">
        <v>10907.5</v>
      </c>
      <c r="E408" s="24" t="n">
        <f aca="false">D408/F408</f>
        <v>0.111978030439135</v>
      </c>
      <c r="F408" s="0" t="n">
        <f aca="false">SUM(C408:D408)</f>
        <v>97407.5</v>
      </c>
    </row>
    <row r="409" customFormat="false" ht="15" hidden="false" customHeight="false" outlineLevel="0" collapsed="false">
      <c r="A409" s="0" t="n">
        <v>2023</v>
      </c>
      <c r="B409" s="0" t="s">
        <v>56</v>
      </c>
      <c r="C409" s="0" t="n">
        <v>93329.5</v>
      </c>
      <c r="D409" s="0" t="n">
        <v>10966</v>
      </c>
      <c r="E409" s="24" t="n">
        <f aca="false">D409/F409</f>
        <v>0.105143558446913</v>
      </c>
      <c r="F409" s="0" t="n">
        <f aca="false">SUM(C409:D409)</f>
        <v>104295.5</v>
      </c>
    </row>
    <row r="410" customFormat="false" ht="15" hidden="false" customHeight="false" outlineLevel="0" collapsed="false">
      <c r="A410" s="0" t="n">
        <v>2024</v>
      </c>
      <c r="B410" s="0" t="s">
        <v>49</v>
      </c>
      <c r="C410" s="0" t="n">
        <v>81547.1</v>
      </c>
      <c r="D410" s="0" t="n">
        <v>33438.4</v>
      </c>
      <c r="E410" s="24" t="n">
        <f aca="false">D410/F410</f>
        <v>0.290805362415261</v>
      </c>
      <c r="F410" s="0" t="n">
        <f aca="false">SUM(C410:D410)</f>
        <v>114985.5</v>
      </c>
    </row>
    <row r="411" customFormat="false" ht="15" hidden="false" customHeight="false" outlineLevel="0" collapsed="false">
      <c r="A411" s="0" t="n">
        <v>2024</v>
      </c>
      <c r="B411" s="0" t="s">
        <v>60</v>
      </c>
      <c r="C411" s="0" t="n">
        <v>83724.4</v>
      </c>
      <c r="D411" s="0" t="n">
        <v>25894.6</v>
      </c>
      <c r="E411" s="24" t="n">
        <f aca="false">D411/F411</f>
        <v>0.236223647360403</v>
      </c>
      <c r="F411" s="0" t="n">
        <f aca="false">SUM(C411:D411)</f>
        <v>109619</v>
      </c>
    </row>
    <row r="412" customFormat="false" ht="15" hidden="false" customHeight="false" outlineLevel="0" collapsed="false">
      <c r="A412" s="0" t="n">
        <v>2024</v>
      </c>
      <c r="B412" s="0" t="s">
        <v>50</v>
      </c>
      <c r="C412" s="0" t="n">
        <v>82389.9</v>
      </c>
      <c r="D412" s="0" t="n">
        <v>32664.6</v>
      </c>
      <c r="E412" s="24" t="n">
        <f aca="false">D412/F412</f>
        <v>0.283905453502471</v>
      </c>
      <c r="F412" s="0" t="n">
        <f aca="false">SUM(C412:D412)</f>
        <v>115054.5</v>
      </c>
    </row>
    <row r="413" customFormat="false" ht="15" hidden="false" customHeight="false" outlineLevel="0" collapsed="false">
      <c r="A413" s="0" t="n">
        <v>2024</v>
      </c>
      <c r="B413" s="0" t="s">
        <v>58</v>
      </c>
      <c r="C413" s="0" t="n">
        <v>72615.4</v>
      </c>
      <c r="D413" s="0" t="n">
        <v>38779</v>
      </c>
      <c r="E413" s="24" t="n">
        <f aca="false">D413/F413</f>
        <v>0.348123424516852</v>
      </c>
      <c r="F413" s="0" t="n">
        <f aca="false">SUM(C413:D413)</f>
        <v>111394.4</v>
      </c>
    </row>
    <row r="414" customFormat="false" ht="15" hidden="false" customHeight="false" outlineLevel="0" collapsed="false">
      <c r="A414" s="0" t="n">
        <v>2024</v>
      </c>
      <c r="B414" s="0" t="s">
        <v>55</v>
      </c>
      <c r="C414" s="0" t="n">
        <v>82001.3</v>
      </c>
      <c r="D414" s="0" t="n">
        <v>33997.5</v>
      </c>
      <c r="E414" s="24" t="n">
        <f aca="false">D414/F414</f>
        <v>0.293084928464777</v>
      </c>
      <c r="F414" s="0" t="n">
        <f aca="false">SUM(C414:D414)</f>
        <v>115998.8</v>
      </c>
    </row>
    <row r="415" customFormat="false" ht="15" hidden="false" customHeight="false" outlineLevel="0" collapsed="false">
      <c r="A415" s="0" t="n">
        <v>2024</v>
      </c>
      <c r="B415" s="0" t="s">
        <v>57</v>
      </c>
      <c r="C415" s="0" t="n">
        <v>67487.6</v>
      </c>
      <c r="D415" s="0" t="n">
        <v>32024.3</v>
      </c>
      <c r="E415" s="24" t="n">
        <f aca="false">D415/F415</f>
        <v>0.321813773026141</v>
      </c>
      <c r="F415" s="0" t="n">
        <f aca="false">SUM(C415:D415)</f>
        <v>99511.9</v>
      </c>
    </row>
    <row r="416" customFormat="false" ht="15" hidden="false" customHeight="false" outlineLevel="0" collapsed="false">
      <c r="A416" s="0" t="n">
        <v>2024</v>
      </c>
      <c r="B416" s="0" t="s">
        <v>54</v>
      </c>
      <c r="C416" s="0" t="n">
        <v>85101.9</v>
      </c>
      <c r="D416" s="0" t="n">
        <v>33523.3</v>
      </c>
      <c r="E416" s="24" t="n">
        <f aca="false">D416/F416</f>
        <v>0.282598469802369</v>
      </c>
      <c r="F416" s="0" t="n">
        <f aca="false">SUM(C416:D416)</f>
        <v>118625.2</v>
      </c>
    </row>
    <row r="417" customFormat="false" ht="15" hidden="false" customHeight="false" outlineLevel="0" collapsed="false">
      <c r="A417" s="0" t="n">
        <v>2024</v>
      </c>
      <c r="B417" s="0" t="s">
        <v>53</v>
      </c>
      <c r="C417" s="0" t="n">
        <v>75608.6</v>
      </c>
      <c r="D417" s="0" t="n">
        <v>32304.594</v>
      </c>
      <c r="E417" s="24" t="n">
        <f aca="false">D417/F417</f>
        <v>0.299357222250321</v>
      </c>
      <c r="F417" s="0" t="n">
        <f aca="false">SUM(C417:D417)</f>
        <v>107913.194</v>
      </c>
    </row>
    <row r="418" customFormat="false" ht="15" hidden="false" customHeight="false" outlineLevel="0" collapsed="false">
      <c r="A418" s="0" t="n">
        <v>2024</v>
      </c>
      <c r="B418" s="0" t="s">
        <v>52</v>
      </c>
      <c r="C418" s="0" t="n">
        <v>77398.207</v>
      </c>
      <c r="D418" s="0" t="n">
        <v>29949.8</v>
      </c>
      <c r="E418" s="24" t="n">
        <f aca="false">D418/F418</f>
        <v>0.278997261681812</v>
      </c>
      <c r="F418" s="0" t="n">
        <f aca="false">SUM(C418:D418)</f>
        <v>107348.007</v>
      </c>
    </row>
    <row r="419" customFormat="false" ht="15" hidden="false" customHeight="false" outlineLevel="0" collapsed="false">
      <c r="A419" s="0" t="n">
        <v>2024</v>
      </c>
      <c r="B419" s="0" t="s">
        <v>59</v>
      </c>
      <c r="C419" s="0" t="n">
        <v>84324.8</v>
      </c>
      <c r="D419" s="0" t="n">
        <v>34880.6</v>
      </c>
      <c r="E419" s="24" t="n">
        <f aca="false">D419/F419</f>
        <v>0.292609227434328</v>
      </c>
      <c r="F419" s="0" t="n">
        <f aca="false">SUM(C419:D419)</f>
        <v>119205.4</v>
      </c>
    </row>
    <row r="420" customFormat="false" ht="15" hidden="false" customHeight="false" outlineLevel="0" collapsed="false">
      <c r="A420" s="0" t="n">
        <v>2024</v>
      </c>
      <c r="B420" s="0" t="s">
        <v>51</v>
      </c>
      <c r="C420" s="0" t="n">
        <v>78249.6</v>
      </c>
      <c r="D420" s="0" t="n">
        <v>33953.5</v>
      </c>
      <c r="E420" s="24" t="n">
        <f aca="false">D420/F420</f>
        <v>0.302607503714247</v>
      </c>
      <c r="F420" s="0" t="n">
        <f aca="false">SUM(C420:D420)</f>
        <v>112203.1</v>
      </c>
    </row>
    <row r="421" customFormat="false" ht="15" hidden="false" customHeight="false" outlineLevel="0" collapsed="false">
      <c r="A421" s="0" t="n">
        <v>2024</v>
      </c>
      <c r="B421" s="0" t="s">
        <v>56</v>
      </c>
      <c r="C421" s="0" t="n">
        <v>78543.5</v>
      </c>
      <c r="D421" s="0" t="n">
        <v>29894.4</v>
      </c>
      <c r="E421" s="24" t="n">
        <f aca="false">D421/F421</f>
        <v>0.275682210739972</v>
      </c>
      <c r="F421" s="0" t="n">
        <f aca="false">SUM(C421:D421)</f>
        <v>108437.9</v>
      </c>
    </row>
    <row r="422" customFormat="false" ht="15" hidden="false" customHeight="false" outlineLevel="0" collapsed="false">
      <c r="A422" s="0" t="n">
        <v>2025</v>
      </c>
      <c r="B422" s="0" t="s">
        <v>55</v>
      </c>
      <c r="C422" s="0" t="n">
        <v>83495.796</v>
      </c>
      <c r="D422" s="0" t="n">
        <v>27727.7</v>
      </c>
      <c r="E422" s="24" t="n">
        <f aca="false">D422/F422</f>
        <v>0.249297144912618</v>
      </c>
      <c r="F422" s="0" t="n">
        <f aca="false">SUM(C422:D422)</f>
        <v>111223.496</v>
      </c>
    </row>
    <row r="423" customFormat="false" ht="15" hidden="false" customHeight="false" outlineLevel="0" collapsed="false">
      <c r="A423" s="0" t="n">
        <v>2025</v>
      </c>
      <c r="B423" s="0" t="s">
        <v>54</v>
      </c>
      <c r="C423" s="0" t="n">
        <v>84953.5</v>
      </c>
      <c r="D423" s="0" t="n">
        <v>30260.7</v>
      </c>
      <c r="E423" s="24" t="n">
        <f aca="false">D423/F423</f>
        <v>0.262647312570846</v>
      </c>
      <c r="F423" s="0" t="n">
        <f aca="false">SUM(C423:D423)</f>
        <v>115214.2</v>
      </c>
    </row>
    <row r="424" customFormat="false" ht="15" hidden="false" customHeight="false" outlineLevel="0" collapsed="false">
      <c r="A424" s="0" t="n">
        <v>2025</v>
      </c>
      <c r="B424" s="0" t="s">
        <v>59</v>
      </c>
      <c r="C424" s="0" t="n">
        <v>85409.5</v>
      </c>
      <c r="D424" s="0" t="n">
        <v>27450.9</v>
      </c>
      <c r="E424" s="24" t="n">
        <f aca="false">D424/F424</f>
        <v>0.243228803016824</v>
      </c>
      <c r="F424" s="0" t="n">
        <f aca="false">SUM(C424:D424)</f>
        <v>112860.4</v>
      </c>
    </row>
    <row r="425" customFormat="false" ht="15" hidden="false" customHeight="false" outlineLevel="0" collapsed="false">
      <c r="A425" s="0" t="n">
        <v>2025</v>
      </c>
      <c r="B425" s="0" t="s">
        <v>56</v>
      </c>
      <c r="C425" s="0" t="n">
        <v>81006.2</v>
      </c>
      <c r="D425" s="0" t="n">
        <v>25538.2</v>
      </c>
      <c r="E425" s="24" t="n">
        <f aca="false">D425/F425</f>
        <v>0.239695375824539</v>
      </c>
      <c r="F425" s="0" t="n">
        <f aca="false">SUM(C425:D425)</f>
        <v>106544.4</v>
      </c>
    </row>
    <row r="426" customFormat="false" ht="15" hidden="false" customHeight="false" outlineLevel="0" collapsed="false">
      <c r="A426" s="0" t="n">
        <v>2025</v>
      </c>
      <c r="B426" s="0" t="s">
        <v>57</v>
      </c>
      <c r="C426" s="0" t="n">
        <v>73014.2</v>
      </c>
      <c r="D426" s="0" t="n">
        <v>26320.4</v>
      </c>
      <c r="E426" s="24" t="n">
        <f aca="false">D426/F426</f>
        <v>0.264967091023672</v>
      </c>
      <c r="F426" s="0" t="n">
        <f aca="false">SUM(C426:D426)</f>
        <v>99334.6</v>
      </c>
    </row>
    <row r="427" customFormat="false" ht="15" hidden="false" customHeight="false" outlineLevel="0" collapsed="false">
      <c r="A427" s="0" t="n">
        <v>2025</v>
      </c>
      <c r="B427" s="0" t="s">
        <v>58</v>
      </c>
      <c r="C427" s="0" t="n">
        <v>73882.793</v>
      </c>
      <c r="D427" s="0" t="n">
        <v>22547.4</v>
      </c>
      <c r="E427" s="24" t="n">
        <f aca="false">D427/F427</f>
        <v>0.233820956886398</v>
      </c>
      <c r="F427" s="0" t="n">
        <f aca="false">SUM(C427:D427)</f>
        <v>96430.193</v>
      </c>
    </row>
    <row r="428" customFormat="false" ht="15" hidden="false" customHeight="false" outlineLevel="0" collapsed="false">
      <c r="A428" s="0" t="n">
        <v>2025</v>
      </c>
      <c r="B428" s="0" t="s">
        <v>53</v>
      </c>
      <c r="C428" s="0" t="n">
        <v>80035.88</v>
      </c>
      <c r="D428" s="0" t="n">
        <v>23648.5</v>
      </c>
      <c r="E428" s="24" t="n">
        <f aca="false">D428/F428</f>
        <v>0.228081606891993</v>
      </c>
      <c r="F428" s="0" t="n">
        <f aca="false">SUM(C428:D428)</f>
        <v>103684.38</v>
      </c>
    </row>
    <row r="429" customFormat="false" ht="15" hidden="false" customHeight="false" outlineLevel="0" collapsed="false">
      <c r="A429" s="0" t="n">
        <v>2025</v>
      </c>
      <c r="B429" s="0" t="s">
        <v>52</v>
      </c>
      <c r="C429" s="0" t="n">
        <v>82252.5</v>
      </c>
      <c r="D429" s="0" t="n">
        <v>22975.4</v>
      </c>
      <c r="E429" s="24" t="n">
        <f aca="false">D429/F429</f>
        <v>0.218339432793014</v>
      </c>
      <c r="F429" s="0" t="n">
        <f aca="false">SUM(C429:D429)</f>
        <v>105227.9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686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2018-10-18T13:46:15Z</dcterms:created>
  <dc:creator>Augut</dc:creator>
  <dc:description/>
  <dc:language>pt-BR</dc:language>
  <cp:lastModifiedBy/>
  <dcterms:modified xsi:type="dcterms:W3CDTF">2025-11-03T11:31:47Z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